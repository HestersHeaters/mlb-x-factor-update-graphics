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ester/Desktop/Hester's Heaters/"/>
    </mc:Choice>
  </mc:AlternateContent>
  <xr:revisionPtr revIDLastSave="0" documentId="8_{764EB710-3D93-D54A-88D9-78ACAE8E0840}" xr6:coauthVersionLast="47" xr6:coauthVersionMax="47" xr10:uidLastSave="{00000000-0000-0000-0000-000000000000}"/>
  <bookViews>
    <workbookView xWindow="260" yWindow="500" windowWidth="27980" windowHeight="15820" activeTab="1" xr2:uid="{5A89EEDB-EDF3-E541-877C-3A58451861C7}"/>
  </bookViews>
  <sheets>
    <sheet name="End of Season 2025" sheetId="1" r:id="rId1"/>
    <sheet name="July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2" l="1"/>
  <c r="P20" i="2"/>
  <c r="O20" i="2"/>
  <c r="M20" i="2"/>
  <c r="H20" i="2"/>
  <c r="D20" i="2"/>
  <c r="C20" i="2"/>
  <c r="AE19" i="2"/>
  <c r="AE20" i="2" s="1"/>
  <c r="AD19" i="2"/>
  <c r="AD20" i="2" s="1"/>
  <c r="AC19" i="2"/>
  <c r="AC20" i="2" s="1"/>
  <c r="AB19" i="2"/>
  <c r="AB20" i="2" s="1"/>
  <c r="AA19" i="2"/>
  <c r="AA20" i="2" s="1"/>
  <c r="Z19" i="2"/>
  <c r="Z20" i="2" s="1"/>
  <c r="Y19" i="2"/>
  <c r="Y20" i="2" s="1"/>
  <c r="X19" i="2"/>
  <c r="X20" i="2" s="1"/>
  <c r="W19" i="2"/>
  <c r="W20" i="2" s="1"/>
  <c r="V19" i="2"/>
  <c r="V20" i="2" s="1"/>
  <c r="U19" i="2"/>
  <c r="U20" i="2" s="1"/>
  <c r="T19" i="2"/>
  <c r="S19" i="2"/>
  <c r="S20" i="2" s="1"/>
  <c r="R19" i="2"/>
  <c r="R20" i="2" s="1"/>
  <c r="Q19" i="2"/>
  <c r="Q20" i="2" s="1"/>
  <c r="P19" i="2"/>
  <c r="O19" i="2"/>
  <c r="N19" i="2"/>
  <c r="N20" i="2" s="1"/>
  <c r="M19" i="2"/>
  <c r="L19" i="2"/>
  <c r="L20" i="2" s="1"/>
  <c r="K19" i="2"/>
  <c r="K20" i="2" s="1"/>
  <c r="J19" i="2"/>
  <c r="J20" i="2" s="1"/>
  <c r="I19" i="2"/>
  <c r="I20" i="2" s="1"/>
  <c r="H19" i="2"/>
  <c r="G19" i="2"/>
  <c r="G20" i="2" s="1"/>
  <c r="F19" i="2"/>
  <c r="F20" i="2" s="1"/>
  <c r="E19" i="2"/>
  <c r="E20" i="2" s="1"/>
  <c r="D19" i="2"/>
  <c r="C19" i="2"/>
  <c r="B19" i="2"/>
  <c r="B20" i="2" s="1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E5" i="2"/>
  <c r="AE13" i="2" s="1"/>
  <c r="AD5" i="2"/>
  <c r="AD13" i="2" s="1"/>
  <c r="AC5" i="2"/>
  <c r="AC11" i="2" s="1"/>
  <c r="AB5" i="2"/>
  <c r="AB13" i="2" s="1"/>
  <c r="AA5" i="2"/>
  <c r="AA11" i="2" s="1"/>
  <c r="Z5" i="2"/>
  <c r="Z13" i="2" s="1"/>
  <c r="Y5" i="2"/>
  <c r="Y13" i="2" s="1"/>
  <c r="X5" i="2"/>
  <c r="X13" i="2" s="1"/>
  <c r="W5" i="2"/>
  <c r="W13" i="2" s="1"/>
  <c r="V5" i="2"/>
  <c r="V13" i="2" s="1"/>
  <c r="U5" i="2"/>
  <c r="U13" i="2" s="1"/>
  <c r="T5" i="2"/>
  <c r="T13" i="2" s="1"/>
  <c r="S5" i="2"/>
  <c r="S13" i="2" s="1"/>
  <c r="R5" i="2"/>
  <c r="R13" i="2" s="1"/>
  <c r="Q5" i="2"/>
  <c r="Q11" i="2" s="1"/>
  <c r="P5" i="2"/>
  <c r="P13" i="2" s="1"/>
  <c r="O5" i="2"/>
  <c r="O13" i="2" s="1"/>
  <c r="N5" i="2"/>
  <c r="N13" i="2" s="1"/>
  <c r="M5" i="2"/>
  <c r="M13" i="2" s="1"/>
  <c r="L5" i="2"/>
  <c r="L13" i="2" s="1"/>
  <c r="K5" i="2"/>
  <c r="K13" i="2" s="1"/>
  <c r="J5" i="2"/>
  <c r="J13" i="2" s="1"/>
  <c r="I5" i="2"/>
  <c r="I13" i="2" s="1"/>
  <c r="H5" i="2"/>
  <c r="H13" i="2" s="1"/>
  <c r="G5" i="2"/>
  <c r="G13" i="2" s="1"/>
  <c r="F5" i="2"/>
  <c r="F13" i="2" s="1"/>
  <c r="E5" i="2"/>
  <c r="E11" i="2" s="1"/>
  <c r="D5" i="2"/>
  <c r="D13" i="2" s="1"/>
  <c r="C5" i="2"/>
  <c r="C13" i="2" s="1"/>
  <c r="B5" i="2"/>
  <c r="B13" i="2" s="1"/>
  <c r="E17" i="2" l="1"/>
  <c r="Y11" i="2"/>
  <c r="Y17" i="2" s="1"/>
  <c r="C11" i="2"/>
  <c r="C17" i="2" s="1"/>
  <c r="P11" i="2"/>
  <c r="P17" i="2" s="1"/>
  <c r="H11" i="2"/>
  <c r="H17" i="2" s="1"/>
  <c r="I11" i="2"/>
  <c r="I17" i="2" s="1"/>
  <c r="U11" i="2"/>
  <c r="U17" i="2" s="1"/>
  <c r="M11" i="2"/>
  <c r="M17" i="2" s="1"/>
  <c r="AA13" i="2"/>
  <c r="AA17" i="2" s="1"/>
  <c r="AB11" i="2"/>
  <c r="AB17" i="2" s="1"/>
  <c r="D11" i="2"/>
  <c r="D17" i="2" s="1"/>
  <c r="T11" i="2"/>
  <c r="T17" i="2" s="1"/>
  <c r="J11" i="2"/>
  <c r="J17" i="2" s="1"/>
  <c r="V11" i="2"/>
  <c r="V17" i="2" s="1"/>
  <c r="K11" i="2"/>
  <c r="K17" i="2" s="1"/>
  <c r="W11" i="2"/>
  <c r="W17" i="2" s="1"/>
  <c r="O11" i="2"/>
  <c r="O17" i="2" s="1"/>
  <c r="L11" i="2"/>
  <c r="L17" i="2" s="1"/>
  <c r="X11" i="2"/>
  <c r="X17" i="2" s="1"/>
  <c r="B11" i="2"/>
  <c r="B17" i="2" s="1"/>
  <c r="N11" i="2"/>
  <c r="N17" i="2" s="1"/>
  <c r="Z11" i="2"/>
  <c r="Z17" i="2" s="1"/>
  <c r="E13" i="2"/>
  <c r="Q13" i="2"/>
  <c r="Q17" i="2" s="1"/>
  <c r="AC13" i="2"/>
  <c r="AC17" i="2" s="1"/>
  <c r="F11" i="2"/>
  <c r="F17" i="2" s="1"/>
  <c r="R11" i="2"/>
  <c r="R17" i="2" s="1"/>
  <c r="AD11" i="2"/>
  <c r="AD17" i="2" s="1"/>
  <c r="G11" i="2"/>
  <c r="G17" i="2" s="1"/>
  <c r="S11" i="2"/>
  <c r="S17" i="2" s="1"/>
  <c r="AE11" i="2"/>
  <c r="AE17" i="2" s="1"/>
  <c r="C8" i="1"/>
  <c r="D8" i="1"/>
  <c r="E8" i="1"/>
  <c r="F8" i="1"/>
  <c r="G8" i="1"/>
  <c r="G9" i="1" s="1"/>
  <c r="H8" i="1"/>
  <c r="H9" i="1" s="1"/>
  <c r="I8" i="1"/>
  <c r="J8" i="1"/>
  <c r="J9" i="1" s="1"/>
  <c r="K8" i="1"/>
  <c r="K9" i="1" s="1"/>
  <c r="L8" i="1"/>
  <c r="L9" i="1" s="1"/>
  <c r="M8" i="1"/>
  <c r="M9" i="1" s="1"/>
  <c r="N8" i="1"/>
  <c r="N9" i="1" s="1"/>
  <c r="O8" i="1"/>
  <c r="P8" i="1"/>
  <c r="Q8" i="1"/>
  <c r="Q9" i="1" s="1"/>
  <c r="R8" i="1"/>
  <c r="R9" i="1" s="1"/>
  <c r="S8" i="1"/>
  <c r="S9" i="1" s="1"/>
  <c r="T8" i="1"/>
  <c r="T9" i="1" s="1"/>
  <c r="U8" i="1"/>
  <c r="U9" i="1" s="1"/>
  <c r="V8" i="1"/>
  <c r="V9" i="1" s="1"/>
  <c r="W8" i="1"/>
  <c r="W9" i="1" s="1"/>
  <c r="X8" i="1"/>
  <c r="X9" i="1" s="1"/>
  <c r="Y8" i="1"/>
  <c r="Y9" i="1" s="1"/>
  <c r="Z8" i="1"/>
  <c r="Z9" i="1" s="1"/>
  <c r="AA8" i="1"/>
  <c r="AB8" i="1"/>
  <c r="AC8" i="1"/>
  <c r="AD8" i="1"/>
  <c r="AE8" i="1"/>
  <c r="C9" i="1"/>
  <c r="D9" i="1"/>
  <c r="E9" i="1"/>
  <c r="F9" i="1"/>
  <c r="I9" i="1"/>
  <c r="O9" i="1"/>
  <c r="P9" i="1"/>
  <c r="AA9" i="1"/>
  <c r="AB9" i="1"/>
  <c r="AC9" i="1"/>
  <c r="AD9" i="1"/>
  <c r="AE9" i="1"/>
  <c r="B8" i="1"/>
  <c r="B9" i="1" s="1"/>
  <c r="AE19" i="1" l="1"/>
  <c r="AE20" i="1" s="1"/>
  <c r="AD19" i="1"/>
  <c r="AD20" i="1" s="1"/>
  <c r="AC19" i="1"/>
  <c r="AC20" i="1" s="1"/>
  <c r="AB19" i="1"/>
  <c r="AB20" i="1" s="1"/>
  <c r="AA19" i="1"/>
  <c r="AA20" i="1" s="1"/>
  <c r="Z19" i="1"/>
  <c r="Z20" i="1" s="1"/>
  <c r="Y19" i="1"/>
  <c r="Y20" i="1" s="1"/>
  <c r="X19" i="1"/>
  <c r="X20" i="1" s="1"/>
  <c r="W19" i="1"/>
  <c r="W20" i="1" s="1"/>
  <c r="V19" i="1"/>
  <c r="V20" i="1" s="1"/>
  <c r="U19" i="1"/>
  <c r="U20" i="1" s="1"/>
  <c r="T19" i="1"/>
  <c r="T20" i="1" s="1"/>
  <c r="S19" i="1"/>
  <c r="S20" i="1" s="1"/>
  <c r="R19" i="1"/>
  <c r="R20" i="1" s="1"/>
  <c r="Q19" i="1"/>
  <c r="Q20" i="1" s="1"/>
  <c r="P19" i="1"/>
  <c r="P20" i="1" s="1"/>
  <c r="O19" i="1"/>
  <c r="O20" i="1" s="1"/>
  <c r="N19" i="1"/>
  <c r="N20" i="1" s="1"/>
  <c r="M19" i="1"/>
  <c r="M20" i="1" s="1"/>
  <c r="L19" i="1"/>
  <c r="L20" i="1" s="1"/>
  <c r="K19" i="1"/>
  <c r="K20" i="1" s="1"/>
  <c r="J19" i="1"/>
  <c r="J20" i="1" s="1"/>
  <c r="I19" i="1"/>
  <c r="I20" i="1" s="1"/>
  <c r="H19" i="1"/>
  <c r="H20" i="1" s="1"/>
  <c r="G19" i="1"/>
  <c r="G20" i="1" s="1"/>
  <c r="F19" i="1"/>
  <c r="F20" i="1" s="1"/>
  <c r="E19" i="1"/>
  <c r="E20" i="1" s="1"/>
  <c r="D19" i="1"/>
  <c r="D20" i="1" s="1"/>
  <c r="C19" i="1"/>
  <c r="C20" i="1" s="1"/>
  <c r="B19" i="1"/>
  <c r="B20" i="1" s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1" i="1"/>
  <c r="AB11" i="1"/>
  <c r="AA11" i="1"/>
  <c r="W11" i="1"/>
  <c r="Q11" i="1"/>
  <c r="P11" i="1"/>
  <c r="O11" i="1"/>
  <c r="N11" i="1"/>
  <c r="K11" i="1"/>
  <c r="J11" i="1"/>
  <c r="H11" i="1"/>
  <c r="E11" i="1"/>
  <c r="D11" i="1"/>
  <c r="C11" i="1"/>
  <c r="B11" i="1"/>
  <c r="I11" i="1" l="1"/>
  <c r="I17" i="1" s="1"/>
  <c r="U11" i="1"/>
  <c r="U17" i="1" s="1"/>
  <c r="X11" i="1"/>
  <c r="X17" i="1" s="1"/>
  <c r="Z11" i="1"/>
  <c r="Z17" i="1" s="1"/>
  <c r="B17" i="1"/>
  <c r="N17" i="1"/>
  <c r="H17" i="1"/>
  <c r="K17" i="1"/>
  <c r="C17" i="1"/>
  <c r="O17" i="1"/>
  <c r="AA17" i="1"/>
  <c r="V11" i="1"/>
  <c r="V17" i="1" s="1"/>
  <c r="J17" i="1"/>
  <c r="W17" i="1"/>
  <c r="D17" i="1"/>
  <c r="P17" i="1"/>
  <c r="AB17" i="1"/>
  <c r="M11" i="1"/>
  <c r="M17" i="1" s="1"/>
  <c r="Y11" i="1"/>
  <c r="Y17" i="1" s="1"/>
  <c r="E17" i="1"/>
  <c r="Q17" i="1"/>
  <c r="AC17" i="1"/>
  <c r="T11" i="1"/>
  <c r="T17" i="1" s="1"/>
  <c r="L11" i="1"/>
  <c r="L17" i="1" s="1"/>
  <c r="F11" i="1"/>
  <c r="F17" i="1" s="1"/>
  <c r="R11" i="1"/>
  <c r="R17" i="1" s="1"/>
  <c r="AD11" i="1"/>
  <c r="AD17" i="1" s="1"/>
  <c r="G11" i="1"/>
  <c r="G17" i="1" s="1"/>
  <c r="S11" i="1"/>
  <c r="S17" i="1" s="1"/>
  <c r="AE11" i="1"/>
  <c r="AE17" i="1" s="1"/>
</calcChain>
</file>

<file path=xl/sharedStrings.xml><?xml version="1.0" encoding="utf-8"?>
<sst xmlns="http://schemas.openxmlformats.org/spreadsheetml/2006/main" count="340" uniqueCount="62">
  <si>
    <t>ATL</t>
  </si>
  <si>
    <t>MIA</t>
  </si>
  <si>
    <t>WSN</t>
  </si>
  <si>
    <t>PHI</t>
  </si>
  <si>
    <t>HOU</t>
  </si>
  <si>
    <t>LAA</t>
  </si>
  <si>
    <t>SEA</t>
  </si>
  <si>
    <t>TEX</t>
  </si>
  <si>
    <t>ATH</t>
  </si>
  <si>
    <t>CHW</t>
  </si>
  <si>
    <t>DET</t>
  </si>
  <si>
    <t>KCR</t>
  </si>
  <si>
    <t>MIN</t>
  </si>
  <si>
    <t>CLE</t>
  </si>
  <si>
    <t>BOS</t>
  </si>
  <si>
    <t>NYY</t>
  </si>
  <si>
    <t>TBR</t>
  </si>
  <si>
    <t>BAL</t>
  </si>
  <si>
    <t>TOR</t>
  </si>
  <si>
    <t>NL</t>
  </si>
  <si>
    <t>AL</t>
  </si>
  <si>
    <t>E</t>
  </si>
  <si>
    <t>W</t>
  </si>
  <si>
    <t>C</t>
  </si>
  <si>
    <t>3rd</t>
  </si>
  <si>
    <t>4th</t>
  </si>
  <si>
    <t>5th</t>
  </si>
  <si>
    <t>1st</t>
  </si>
  <si>
    <t>2nd</t>
  </si>
  <si>
    <t>N</t>
  </si>
  <si>
    <t>Y</t>
  </si>
  <si>
    <t>Team</t>
  </si>
  <si>
    <t>SFG</t>
  </si>
  <si>
    <t>ARI</t>
  </si>
  <si>
    <t>SDP</t>
  </si>
  <si>
    <t>COL</t>
  </si>
  <si>
    <t>LAD</t>
  </si>
  <si>
    <t>CHC</t>
  </si>
  <si>
    <t>MIL</t>
  </si>
  <si>
    <t>CIN</t>
  </si>
  <si>
    <t>STL</t>
  </si>
  <si>
    <t>PIT</t>
  </si>
  <si>
    <t>NYM</t>
  </si>
  <si>
    <t>League</t>
  </si>
  <si>
    <t>Division</t>
  </si>
  <si>
    <t>Standing</t>
  </si>
  <si>
    <t>Games</t>
  </si>
  <si>
    <t>Current W</t>
  </si>
  <si>
    <t>Current L</t>
  </si>
  <si>
    <t>Proj W</t>
  </si>
  <si>
    <t>Proj L</t>
  </si>
  <si>
    <t>Current Record</t>
  </si>
  <si>
    <t>Current Win%</t>
  </si>
  <si>
    <t>Proj Record</t>
  </si>
  <si>
    <t>Proj Win%</t>
  </si>
  <si>
    <t>Playoffs</t>
  </si>
  <si>
    <t>Proj Playoff %</t>
  </si>
  <si>
    <t>Wins vs. Proj</t>
  </si>
  <si>
    <t>Win% vs. Proj %</t>
  </si>
  <si>
    <t>Current Playoff%</t>
  </si>
  <si>
    <t>CP %</t>
  </si>
  <si>
    <t>Playoff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</si>
</sst>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0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8B85-0D37-8145-B8D6-5E2439573368}">
  <dimension ref="A1:AE25"/>
  <sheetViews>
    <sheetView zoomScaleNormal="100" workbookViewId="0">
      <selection activeCell="A8" sqref="A8"/>
    </sheetView>
  </sheetViews>
  <sheetFormatPr baseColWidth="10" defaultRowHeight="16" x14ac:dyDescent="0.2"/>
  <cols>
    <col min="1" max="1" width="17.1640625" style="3" customWidth="1"/>
    <col min="2" max="31" width="15.5" style="3" customWidth="1"/>
    <col min="32" max="16384" width="10.83203125" style="3"/>
  </cols>
  <sheetData>
    <row r="1" spans="1:31" ht="32" customHeight="1" x14ac:dyDescent="0.2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0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</row>
    <row r="2" spans="1:31" ht="24" customHeight="1" x14ac:dyDescent="0.2">
      <c r="A2" s="1" t="s">
        <v>43</v>
      </c>
      <c r="B2" s="4" t="s">
        <v>19</v>
      </c>
      <c r="C2" s="4" t="s">
        <v>19</v>
      </c>
      <c r="D2" s="4" t="s">
        <v>19</v>
      </c>
      <c r="E2" s="4" t="s">
        <v>19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19</v>
      </c>
      <c r="Q2" s="4" t="s">
        <v>20</v>
      </c>
      <c r="R2" s="4" t="s">
        <v>20</v>
      </c>
      <c r="S2" s="4" t="s">
        <v>20</v>
      </c>
      <c r="T2" s="4" t="s">
        <v>20</v>
      </c>
      <c r="U2" s="4" t="s">
        <v>20</v>
      </c>
      <c r="V2" s="4" t="s">
        <v>20</v>
      </c>
      <c r="W2" s="4" t="s">
        <v>20</v>
      </c>
      <c r="X2" s="4" t="s">
        <v>20</v>
      </c>
      <c r="Y2" s="4" t="s">
        <v>20</v>
      </c>
      <c r="Z2" s="4" t="s">
        <v>20</v>
      </c>
      <c r="AA2" s="4" t="s">
        <v>20</v>
      </c>
      <c r="AB2" s="4" t="s">
        <v>20</v>
      </c>
      <c r="AC2" s="4" t="s">
        <v>20</v>
      </c>
      <c r="AD2" s="4" t="s">
        <v>20</v>
      </c>
      <c r="AE2" s="4" t="s">
        <v>20</v>
      </c>
    </row>
    <row r="3" spans="1:31" ht="24" customHeight="1" x14ac:dyDescent="0.2">
      <c r="A3" s="1" t="s">
        <v>44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21</v>
      </c>
      <c r="M3" s="4" t="s">
        <v>21</v>
      </c>
      <c r="N3" s="4" t="s">
        <v>21</v>
      </c>
      <c r="O3" s="4" t="s">
        <v>21</v>
      </c>
      <c r="P3" s="4" t="s">
        <v>21</v>
      </c>
      <c r="Q3" s="4" t="s">
        <v>22</v>
      </c>
      <c r="R3" s="4" t="s">
        <v>22</v>
      </c>
      <c r="S3" s="4" t="s">
        <v>22</v>
      </c>
      <c r="T3" s="4" t="s">
        <v>22</v>
      </c>
      <c r="U3" s="4" t="s">
        <v>22</v>
      </c>
      <c r="V3" s="4" t="s">
        <v>23</v>
      </c>
      <c r="W3" s="4" t="s">
        <v>23</v>
      </c>
      <c r="X3" s="4" t="s">
        <v>23</v>
      </c>
      <c r="Y3" s="4" t="s">
        <v>23</v>
      </c>
      <c r="Z3" s="4" t="s">
        <v>23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</row>
    <row r="4" spans="1:31" ht="24" customHeight="1" x14ac:dyDescent="0.2">
      <c r="A4" s="1" t="s">
        <v>45</v>
      </c>
      <c r="B4" s="4" t="s">
        <v>24</v>
      </c>
      <c r="C4" s="4" t="s">
        <v>25</v>
      </c>
      <c r="D4" s="4" t="s">
        <v>28</v>
      </c>
      <c r="E4" s="4" t="s">
        <v>26</v>
      </c>
      <c r="F4" s="4" t="s">
        <v>27</v>
      </c>
      <c r="G4" s="4" t="s">
        <v>28</v>
      </c>
      <c r="H4" s="4" t="s">
        <v>27</v>
      </c>
      <c r="I4" s="4" t="s">
        <v>24</v>
      </c>
      <c r="J4" s="4" t="s">
        <v>25</v>
      </c>
      <c r="K4" s="4" t="s">
        <v>26</v>
      </c>
      <c r="L4" s="4" t="s">
        <v>28</v>
      </c>
      <c r="M4" s="4" t="s">
        <v>25</v>
      </c>
      <c r="N4" s="4" t="s">
        <v>24</v>
      </c>
      <c r="O4" s="4" t="s">
        <v>26</v>
      </c>
      <c r="P4" s="4" t="s">
        <v>27</v>
      </c>
      <c r="Q4" s="4" t="s">
        <v>28</v>
      </c>
      <c r="R4" s="4" t="s">
        <v>26</v>
      </c>
      <c r="S4" s="4" t="s">
        <v>27</v>
      </c>
      <c r="T4" s="4" t="s">
        <v>24</v>
      </c>
      <c r="U4" s="4" t="s">
        <v>25</v>
      </c>
      <c r="V4" s="4" t="s">
        <v>26</v>
      </c>
      <c r="W4" s="4" t="s">
        <v>28</v>
      </c>
      <c r="X4" s="4" t="s">
        <v>24</v>
      </c>
      <c r="Y4" s="4" t="s">
        <v>25</v>
      </c>
      <c r="Z4" s="4" t="s">
        <v>27</v>
      </c>
      <c r="AA4" s="4" t="s">
        <v>24</v>
      </c>
      <c r="AB4" s="4" t="s">
        <v>28</v>
      </c>
      <c r="AC4" s="4" t="s">
        <v>25</v>
      </c>
      <c r="AD4" s="4" t="s">
        <v>26</v>
      </c>
      <c r="AE4" s="4" t="s">
        <v>27</v>
      </c>
    </row>
    <row r="5" spans="1:31" ht="24" customHeight="1" x14ac:dyDescent="0.2">
      <c r="A5" s="1" t="s">
        <v>46</v>
      </c>
      <c r="B5" s="4">
        <v>162</v>
      </c>
      <c r="C5" s="4">
        <v>162</v>
      </c>
      <c r="D5" s="4">
        <v>162</v>
      </c>
      <c r="E5" s="4">
        <v>162</v>
      </c>
      <c r="F5" s="4">
        <v>162</v>
      </c>
      <c r="G5" s="4">
        <v>162</v>
      </c>
      <c r="H5" s="4">
        <v>162</v>
      </c>
      <c r="I5" s="4">
        <v>162</v>
      </c>
      <c r="J5" s="4">
        <v>162</v>
      </c>
      <c r="K5" s="4">
        <v>162</v>
      </c>
      <c r="L5" s="4">
        <v>162</v>
      </c>
      <c r="M5" s="4">
        <v>162</v>
      </c>
      <c r="N5" s="4">
        <v>162</v>
      </c>
      <c r="O5" s="4">
        <v>162</v>
      </c>
      <c r="P5" s="4">
        <v>162</v>
      </c>
      <c r="Q5" s="4">
        <v>162</v>
      </c>
      <c r="R5" s="4">
        <v>162</v>
      </c>
      <c r="S5" s="4">
        <v>162</v>
      </c>
      <c r="T5" s="4">
        <v>162</v>
      </c>
      <c r="U5" s="4">
        <v>162</v>
      </c>
      <c r="V5" s="4">
        <v>162</v>
      </c>
      <c r="W5" s="4">
        <v>162</v>
      </c>
      <c r="X5" s="4">
        <v>162</v>
      </c>
      <c r="Y5" s="4">
        <v>162</v>
      </c>
      <c r="Z5" s="4">
        <v>162</v>
      </c>
      <c r="AA5" s="4">
        <v>162</v>
      </c>
      <c r="AB5" s="4">
        <v>162</v>
      </c>
      <c r="AC5" s="4">
        <v>162</v>
      </c>
      <c r="AD5" s="4">
        <v>162</v>
      </c>
      <c r="AE5" s="4">
        <v>162</v>
      </c>
    </row>
    <row r="6" spans="1:31" ht="24" customHeight="1" x14ac:dyDescent="0.2">
      <c r="A6" s="1" t="s">
        <v>47</v>
      </c>
      <c r="B6" s="4">
        <v>81</v>
      </c>
      <c r="C6" s="4">
        <v>80</v>
      </c>
      <c r="D6" s="4">
        <v>90</v>
      </c>
      <c r="E6" s="4">
        <v>43</v>
      </c>
      <c r="F6" s="4">
        <v>93</v>
      </c>
      <c r="G6" s="4">
        <v>92</v>
      </c>
      <c r="H6" s="4">
        <v>97</v>
      </c>
      <c r="I6" s="4">
        <v>83</v>
      </c>
      <c r="J6" s="4">
        <v>78</v>
      </c>
      <c r="K6" s="4">
        <v>71</v>
      </c>
      <c r="L6" s="4">
        <v>83</v>
      </c>
      <c r="M6" s="4">
        <v>76</v>
      </c>
      <c r="N6" s="4">
        <v>79</v>
      </c>
      <c r="O6" s="4">
        <v>66</v>
      </c>
      <c r="P6" s="4">
        <v>96</v>
      </c>
      <c r="Q6" s="4">
        <v>87</v>
      </c>
      <c r="R6" s="4">
        <v>72</v>
      </c>
      <c r="S6" s="4">
        <v>90</v>
      </c>
      <c r="T6" s="4">
        <v>81</v>
      </c>
      <c r="U6" s="4">
        <v>76</v>
      </c>
      <c r="V6" s="4">
        <v>60</v>
      </c>
      <c r="W6" s="4">
        <v>87</v>
      </c>
      <c r="X6" s="4">
        <v>82</v>
      </c>
      <c r="Y6" s="4">
        <v>70</v>
      </c>
      <c r="Z6" s="4">
        <v>88</v>
      </c>
      <c r="AA6" s="4">
        <v>89</v>
      </c>
      <c r="AB6" s="4">
        <v>94</v>
      </c>
      <c r="AC6" s="4">
        <v>77</v>
      </c>
      <c r="AD6" s="4">
        <v>75</v>
      </c>
      <c r="AE6" s="4">
        <v>94</v>
      </c>
    </row>
    <row r="7" spans="1:31" ht="24" customHeight="1" x14ac:dyDescent="0.2">
      <c r="A7" s="1" t="s">
        <v>48</v>
      </c>
      <c r="B7" s="4">
        <v>81</v>
      </c>
      <c r="C7" s="4">
        <v>82</v>
      </c>
      <c r="D7" s="4">
        <v>72</v>
      </c>
      <c r="E7" s="4">
        <v>119</v>
      </c>
      <c r="F7" s="4">
        <v>69</v>
      </c>
      <c r="G7" s="4">
        <v>70</v>
      </c>
      <c r="H7" s="4">
        <v>65</v>
      </c>
      <c r="I7" s="4">
        <v>79</v>
      </c>
      <c r="J7" s="4">
        <v>84</v>
      </c>
      <c r="K7" s="4">
        <v>91</v>
      </c>
      <c r="L7" s="4">
        <v>79</v>
      </c>
      <c r="M7" s="4">
        <v>86</v>
      </c>
      <c r="N7" s="4">
        <v>83</v>
      </c>
      <c r="O7" s="4">
        <v>96</v>
      </c>
      <c r="P7" s="4">
        <v>66</v>
      </c>
      <c r="Q7" s="4">
        <v>75</v>
      </c>
      <c r="R7" s="4">
        <v>90</v>
      </c>
      <c r="S7" s="4">
        <v>72</v>
      </c>
      <c r="T7" s="4">
        <v>81</v>
      </c>
      <c r="U7" s="4">
        <v>86</v>
      </c>
      <c r="V7" s="4">
        <v>102</v>
      </c>
      <c r="W7" s="4">
        <v>85</v>
      </c>
      <c r="X7" s="4">
        <v>80</v>
      </c>
      <c r="Y7" s="4">
        <v>92</v>
      </c>
      <c r="Z7" s="4">
        <v>74</v>
      </c>
      <c r="AA7" s="4">
        <v>73</v>
      </c>
      <c r="AB7" s="4">
        <v>68</v>
      </c>
      <c r="AC7" s="4">
        <v>85</v>
      </c>
      <c r="AD7" s="4">
        <v>87</v>
      </c>
      <c r="AE7" s="4">
        <v>68</v>
      </c>
    </row>
    <row r="8" spans="1:31" ht="24" customHeight="1" x14ac:dyDescent="0.2">
      <c r="A8" s="1" t="s">
        <v>49</v>
      </c>
      <c r="B8" s="5">
        <f>B5*B13</f>
        <v>76.95</v>
      </c>
      <c r="C8" s="5">
        <f t="shared" ref="C8:AE8" si="0">C5*C13</f>
        <v>85.05</v>
      </c>
      <c r="D8" s="5">
        <f t="shared" si="0"/>
        <v>84.077999999999989</v>
      </c>
      <c r="E8" s="5">
        <f t="shared" si="0"/>
        <v>63.018000000000001</v>
      </c>
      <c r="F8" s="5">
        <f t="shared" si="0"/>
        <v>97.037999999999997</v>
      </c>
      <c r="G8" s="5">
        <f t="shared" si="0"/>
        <v>86.022000000000006</v>
      </c>
      <c r="H8" s="5">
        <f t="shared" si="0"/>
        <v>84.077999999999989</v>
      </c>
      <c r="I8" s="5">
        <f t="shared" si="0"/>
        <v>79.055999999999997</v>
      </c>
      <c r="J8" s="5">
        <f t="shared" si="0"/>
        <v>79.056000000000012</v>
      </c>
      <c r="K8" s="5">
        <f t="shared" si="0"/>
        <v>76.95</v>
      </c>
      <c r="L8" s="5">
        <f t="shared" si="0"/>
        <v>87.966000000000008</v>
      </c>
      <c r="M8" s="5">
        <f t="shared" si="0"/>
        <v>88.938000000000002</v>
      </c>
      <c r="N8" s="5">
        <f t="shared" si="0"/>
        <v>68.039999999999992</v>
      </c>
      <c r="O8" s="5">
        <f t="shared" si="0"/>
        <v>69.012</v>
      </c>
      <c r="P8" s="5">
        <f t="shared" si="0"/>
        <v>88.938000000000002</v>
      </c>
      <c r="Q8" s="5">
        <f t="shared" si="0"/>
        <v>90.072000000000003</v>
      </c>
      <c r="R8" s="5">
        <f t="shared" si="0"/>
        <v>69.983999999999995</v>
      </c>
      <c r="S8" s="5">
        <f t="shared" si="0"/>
        <v>86.022000000000006</v>
      </c>
      <c r="T8" s="5">
        <f t="shared" si="0"/>
        <v>85.05</v>
      </c>
      <c r="U8" s="5">
        <f t="shared" si="0"/>
        <v>70.956000000000003</v>
      </c>
      <c r="V8" s="5">
        <f t="shared" si="0"/>
        <v>52.974000000000004</v>
      </c>
      <c r="W8" s="5">
        <f t="shared" si="0"/>
        <v>81</v>
      </c>
      <c r="X8" s="5">
        <f t="shared" si="0"/>
        <v>81.971999999999994</v>
      </c>
      <c r="Y8" s="5">
        <f t="shared" si="0"/>
        <v>85.05</v>
      </c>
      <c r="Z8" s="5">
        <f t="shared" si="0"/>
        <v>85.049999999999983</v>
      </c>
      <c r="AA8" s="5">
        <f t="shared" si="0"/>
        <v>84.078000000000003</v>
      </c>
      <c r="AB8" s="5">
        <f t="shared" si="0"/>
        <v>88.938000000000002</v>
      </c>
      <c r="AC8" s="5">
        <f t="shared" si="0"/>
        <v>82.944000000000003</v>
      </c>
      <c r="AD8" s="5">
        <f t="shared" si="0"/>
        <v>88.938000000000002</v>
      </c>
      <c r="AE8" s="5">
        <f t="shared" si="0"/>
        <v>81.971999999999994</v>
      </c>
    </row>
    <row r="9" spans="1:31" ht="24" customHeight="1" x14ac:dyDescent="0.2">
      <c r="A9" s="1" t="s">
        <v>50</v>
      </c>
      <c r="B9" s="5">
        <f>B5-B8</f>
        <v>85.05</v>
      </c>
      <c r="C9" s="5">
        <f t="shared" ref="C9:AE9" si="1">C5-C8</f>
        <v>76.95</v>
      </c>
      <c r="D9" s="5">
        <f t="shared" si="1"/>
        <v>77.922000000000011</v>
      </c>
      <c r="E9" s="5">
        <f t="shared" si="1"/>
        <v>98.981999999999999</v>
      </c>
      <c r="F9" s="5">
        <f t="shared" si="1"/>
        <v>64.962000000000003</v>
      </c>
      <c r="G9" s="5">
        <f t="shared" si="1"/>
        <v>75.977999999999994</v>
      </c>
      <c r="H9" s="5">
        <f t="shared" si="1"/>
        <v>77.922000000000011</v>
      </c>
      <c r="I9" s="5">
        <f t="shared" si="1"/>
        <v>82.944000000000003</v>
      </c>
      <c r="J9" s="5">
        <f t="shared" si="1"/>
        <v>82.943999999999988</v>
      </c>
      <c r="K9" s="5">
        <f t="shared" si="1"/>
        <v>85.05</v>
      </c>
      <c r="L9" s="5">
        <f t="shared" si="1"/>
        <v>74.033999999999992</v>
      </c>
      <c r="M9" s="5">
        <f t="shared" si="1"/>
        <v>73.061999999999998</v>
      </c>
      <c r="N9" s="5">
        <f t="shared" si="1"/>
        <v>93.960000000000008</v>
      </c>
      <c r="O9" s="5">
        <f t="shared" si="1"/>
        <v>92.988</v>
      </c>
      <c r="P9" s="5">
        <f t="shared" si="1"/>
        <v>73.061999999999998</v>
      </c>
      <c r="Q9" s="5">
        <f t="shared" si="1"/>
        <v>71.927999999999997</v>
      </c>
      <c r="R9" s="5">
        <f t="shared" si="1"/>
        <v>92.016000000000005</v>
      </c>
      <c r="S9" s="5">
        <f t="shared" si="1"/>
        <v>75.977999999999994</v>
      </c>
      <c r="T9" s="5">
        <f t="shared" si="1"/>
        <v>76.95</v>
      </c>
      <c r="U9" s="5">
        <f t="shared" si="1"/>
        <v>91.043999999999997</v>
      </c>
      <c r="V9" s="5">
        <f t="shared" si="1"/>
        <v>109.026</v>
      </c>
      <c r="W9" s="5">
        <f t="shared" si="1"/>
        <v>81</v>
      </c>
      <c r="X9" s="5">
        <f t="shared" si="1"/>
        <v>80.028000000000006</v>
      </c>
      <c r="Y9" s="5">
        <f t="shared" si="1"/>
        <v>76.95</v>
      </c>
      <c r="Z9" s="5">
        <f t="shared" si="1"/>
        <v>76.950000000000017</v>
      </c>
      <c r="AA9" s="5">
        <f t="shared" si="1"/>
        <v>77.921999999999997</v>
      </c>
      <c r="AB9" s="5">
        <f t="shared" si="1"/>
        <v>73.061999999999998</v>
      </c>
      <c r="AC9" s="5">
        <f t="shared" si="1"/>
        <v>79.055999999999997</v>
      </c>
      <c r="AD9" s="5">
        <f t="shared" si="1"/>
        <v>73.061999999999998</v>
      </c>
      <c r="AE9" s="5">
        <f t="shared" si="1"/>
        <v>80.028000000000006</v>
      </c>
    </row>
    <row r="10" spans="1:31" ht="24" customHeight="1" x14ac:dyDescent="0.2">
      <c r="A10" s="1" t="s">
        <v>51</v>
      </c>
      <c r="B10" s="6" t="str">
        <f>B6&amp;"-"&amp;B7</f>
        <v>81-81</v>
      </c>
      <c r="C10" s="6" t="str">
        <f t="shared" ref="C10:AE10" si="2">C6&amp;"-"&amp;C7</f>
        <v>80-82</v>
      </c>
      <c r="D10" s="6" t="str">
        <f t="shared" si="2"/>
        <v>90-72</v>
      </c>
      <c r="E10" s="6" t="str">
        <f t="shared" si="2"/>
        <v>43-119</v>
      </c>
      <c r="F10" s="6" t="str">
        <f t="shared" si="2"/>
        <v>93-69</v>
      </c>
      <c r="G10" s="6" t="str">
        <f t="shared" si="2"/>
        <v>92-70</v>
      </c>
      <c r="H10" s="6" t="str">
        <f t="shared" si="2"/>
        <v>97-65</v>
      </c>
      <c r="I10" s="6" t="str">
        <f t="shared" si="2"/>
        <v>83-79</v>
      </c>
      <c r="J10" s="6" t="str">
        <f t="shared" si="2"/>
        <v>78-84</v>
      </c>
      <c r="K10" s="6" t="str">
        <f t="shared" si="2"/>
        <v>71-91</v>
      </c>
      <c r="L10" s="6" t="str">
        <f t="shared" si="2"/>
        <v>83-79</v>
      </c>
      <c r="M10" s="6" t="str">
        <f t="shared" si="2"/>
        <v>76-86</v>
      </c>
      <c r="N10" s="6" t="str">
        <f t="shared" si="2"/>
        <v>79-83</v>
      </c>
      <c r="O10" s="6" t="str">
        <f t="shared" si="2"/>
        <v>66-96</v>
      </c>
      <c r="P10" s="6" t="str">
        <f t="shared" si="2"/>
        <v>96-66</v>
      </c>
      <c r="Q10" s="6" t="str">
        <f t="shared" si="2"/>
        <v>87-75</v>
      </c>
      <c r="R10" s="6" t="str">
        <f t="shared" si="2"/>
        <v>72-90</v>
      </c>
      <c r="S10" s="6" t="str">
        <f t="shared" si="2"/>
        <v>90-72</v>
      </c>
      <c r="T10" s="6" t="str">
        <f t="shared" si="2"/>
        <v>81-81</v>
      </c>
      <c r="U10" s="6" t="str">
        <f t="shared" si="2"/>
        <v>76-86</v>
      </c>
      <c r="V10" s="6" t="str">
        <f t="shared" si="2"/>
        <v>60-102</v>
      </c>
      <c r="W10" s="6" t="str">
        <f t="shared" si="2"/>
        <v>87-85</v>
      </c>
      <c r="X10" s="6" t="str">
        <f t="shared" si="2"/>
        <v>82-80</v>
      </c>
      <c r="Y10" s="6" t="str">
        <f t="shared" si="2"/>
        <v>70-92</v>
      </c>
      <c r="Z10" s="6" t="str">
        <f t="shared" si="2"/>
        <v>88-74</v>
      </c>
      <c r="AA10" s="6" t="str">
        <f t="shared" si="2"/>
        <v>89-73</v>
      </c>
      <c r="AB10" s="6" t="str">
        <f t="shared" si="2"/>
        <v>94-68</v>
      </c>
      <c r="AC10" s="6" t="str">
        <f t="shared" si="2"/>
        <v>77-85</v>
      </c>
      <c r="AD10" s="6" t="str">
        <f t="shared" si="2"/>
        <v>75-87</v>
      </c>
      <c r="AE10" s="6" t="str">
        <f t="shared" si="2"/>
        <v>94-68</v>
      </c>
    </row>
    <row r="11" spans="1:31" ht="24" customHeight="1" x14ac:dyDescent="0.2">
      <c r="A11" s="1" t="s">
        <v>52</v>
      </c>
      <c r="B11" s="7">
        <f>B6/B5</f>
        <v>0.5</v>
      </c>
      <c r="C11" s="7">
        <f t="shared" ref="C11:AE11" si="3">C6/C5</f>
        <v>0.49382716049382713</v>
      </c>
      <c r="D11" s="7">
        <f t="shared" si="3"/>
        <v>0.55555555555555558</v>
      </c>
      <c r="E11" s="7">
        <f t="shared" si="3"/>
        <v>0.26543209876543211</v>
      </c>
      <c r="F11" s="7">
        <f t="shared" si="3"/>
        <v>0.57407407407407407</v>
      </c>
      <c r="G11" s="7">
        <f t="shared" si="3"/>
        <v>0.5679012345679012</v>
      </c>
      <c r="H11" s="7">
        <f t="shared" si="3"/>
        <v>0.59876543209876543</v>
      </c>
      <c r="I11" s="7">
        <f t="shared" si="3"/>
        <v>0.51234567901234573</v>
      </c>
      <c r="J11" s="7">
        <f t="shared" si="3"/>
        <v>0.48148148148148145</v>
      </c>
      <c r="K11" s="7">
        <f t="shared" si="3"/>
        <v>0.43827160493827161</v>
      </c>
      <c r="L11" s="7">
        <f t="shared" si="3"/>
        <v>0.51234567901234573</v>
      </c>
      <c r="M11" s="7">
        <f t="shared" si="3"/>
        <v>0.46913580246913578</v>
      </c>
      <c r="N11" s="7">
        <f t="shared" si="3"/>
        <v>0.48765432098765432</v>
      </c>
      <c r="O11" s="7">
        <f t="shared" si="3"/>
        <v>0.40740740740740738</v>
      </c>
      <c r="P11" s="7">
        <f t="shared" si="3"/>
        <v>0.59259259259259256</v>
      </c>
      <c r="Q11" s="7">
        <f t="shared" si="3"/>
        <v>0.53703703703703709</v>
      </c>
      <c r="R11" s="7">
        <f t="shared" si="3"/>
        <v>0.44444444444444442</v>
      </c>
      <c r="S11" s="7">
        <f t="shared" si="3"/>
        <v>0.55555555555555558</v>
      </c>
      <c r="T11" s="7">
        <f t="shared" si="3"/>
        <v>0.5</v>
      </c>
      <c r="U11" s="7">
        <f t="shared" si="3"/>
        <v>0.46913580246913578</v>
      </c>
      <c r="V11" s="7">
        <f t="shared" si="3"/>
        <v>0.37037037037037035</v>
      </c>
      <c r="W11" s="7">
        <f t="shared" si="3"/>
        <v>0.53703703703703709</v>
      </c>
      <c r="X11" s="7">
        <f t="shared" si="3"/>
        <v>0.50617283950617287</v>
      </c>
      <c r="Y11" s="7">
        <f t="shared" si="3"/>
        <v>0.43209876543209874</v>
      </c>
      <c r="Z11" s="7">
        <f t="shared" si="3"/>
        <v>0.54320987654320985</v>
      </c>
      <c r="AA11" s="7">
        <f t="shared" si="3"/>
        <v>0.54938271604938271</v>
      </c>
      <c r="AB11" s="7">
        <f t="shared" si="3"/>
        <v>0.58024691358024694</v>
      </c>
      <c r="AC11" s="7">
        <f t="shared" si="3"/>
        <v>0.47530864197530864</v>
      </c>
      <c r="AD11" s="7">
        <f t="shared" si="3"/>
        <v>0.46296296296296297</v>
      </c>
      <c r="AE11" s="7">
        <f t="shared" si="3"/>
        <v>0.58024691358024694</v>
      </c>
    </row>
    <row r="12" spans="1:31" ht="24" customHeight="1" x14ac:dyDescent="0.2">
      <c r="A12" s="1" t="s">
        <v>53</v>
      </c>
      <c r="B12" s="6" t="str">
        <f>ROUND(B8,0)&amp;"-"&amp;ROUND(B9,0)</f>
        <v>77-85</v>
      </c>
      <c r="C12" s="6" t="str">
        <f t="shared" ref="C12:AE12" si="4">ROUND(C8,0)&amp;"-"&amp;ROUND(C9,0)</f>
        <v>85-77</v>
      </c>
      <c r="D12" s="6" t="str">
        <f t="shared" si="4"/>
        <v>84-78</v>
      </c>
      <c r="E12" s="6" t="str">
        <f t="shared" si="4"/>
        <v>63-99</v>
      </c>
      <c r="F12" s="6" t="str">
        <f t="shared" si="4"/>
        <v>97-65</v>
      </c>
      <c r="G12" s="6" t="str">
        <f t="shared" si="4"/>
        <v>86-76</v>
      </c>
      <c r="H12" s="6" t="str">
        <f t="shared" si="4"/>
        <v>84-78</v>
      </c>
      <c r="I12" s="6" t="str">
        <f t="shared" si="4"/>
        <v>79-83</v>
      </c>
      <c r="J12" s="6" t="str">
        <f t="shared" si="4"/>
        <v>79-83</v>
      </c>
      <c r="K12" s="6" t="str">
        <f t="shared" si="4"/>
        <v>77-85</v>
      </c>
      <c r="L12" s="6" t="str">
        <f t="shared" si="4"/>
        <v>88-74</v>
      </c>
      <c r="M12" s="6" t="str">
        <f t="shared" si="4"/>
        <v>89-73</v>
      </c>
      <c r="N12" s="6" t="str">
        <f t="shared" si="4"/>
        <v>68-94</v>
      </c>
      <c r="O12" s="6" t="str">
        <f t="shared" si="4"/>
        <v>69-93</v>
      </c>
      <c r="P12" s="6" t="str">
        <f t="shared" si="4"/>
        <v>89-73</v>
      </c>
      <c r="Q12" s="6" t="str">
        <f t="shared" si="4"/>
        <v>90-72</v>
      </c>
      <c r="R12" s="6" t="str">
        <f t="shared" si="4"/>
        <v>70-92</v>
      </c>
      <c r="S12" s="6" t="str">
        <f t="shared" si="4"/>
        <v>86-76</v>
      </c>
      <c r="T12" s="6" t="str">
        <f t="shared" si="4"/>
        <v>85-77</v>
      </c>
      <c r="U12" s="6" t="str">
        <f t="shared" si="4"/>
        <v>71-91</v>
      </c>
      <c r="V12" s="6" t="str">
        <f t="shared" si="4"/>
        <v>53-109</v>
      </c>
      <c r="W12" s="6" t="str">
        <f t="shared" si="4"/>
        <v>81-81</v>
      </c>
      <c r="X12" s="6" t="str">
        <f t="shared" si="4"/>
        <v>82-80</v>
      </c>
      <c r="Y12" s="6" t="str">
        <f t="shared" si="4"/>
        <v>85-77</v>
      </c>
      <c r="Z12" s="6" t="str">
        <f t="shared" si="4"/>
        <v>85-77</v>
      </c>
      <c r="AA12" s="6" t="str">
        <f t="shared" si="4"/>
        <v>84-78</v>
      </c>
      <c r="AB12" s="6" t="str">
        <f t="shared" si="4"/>
        <v>89-73</v>
      </c>
      <c r="AC12" s="6" t="str">
        <f t="shared" si="4"/>
        <v>83-79</v>
      </c>
      <c r="AD12" s="6" t="str">
        <f t="shared" si="4"/>
        <v>89-73</v>
      </c>
      <c r="AE12" s="6" t="str">
        <f t="shared" si="4"/>
        <v>82-80</v>
      </c>
    </row>
    <row r="13" spans="1:31" ht="24" customHeight="1" x14ac:dyDescent="0.2">
      <c r="A13" s="1" t="s">
        <v>54</v>
      </c>
      <c r="B13" s="6">
        <v>0.47499999999999998</v>
      </c>
      <c r="C13" s="6">
        <v>0.52500000000000002</v>
      </c>
      <c r="D13" s="6">
        <v>0.51899999999999991</v>
      </c>
      <c r="E13" s="6">
        <v>0.38900000000000001</v>
      </c>
      <c r="F13" s="6">
        <v>0.59899999999999998</v>
      </c>
      <c r="G13" s="6">
        <v>0.53100000000000003</v>
      </c>
      <c r="H13" s="6">
        <v>0.51899999999999991</v>
      </c>
      <c r="I13" s="6">
        <v>0.48799999999999999</v>
      </c>
      <c r="J13" s="6">
        <v>0.48800000000000004</v>
      </c>
      <c r="K13" s="6">
        <v>0.47500000000000003</v>
      </c>
      <c r="L13" s="6">
        <v>0.54300000000000004</v>
      </c>
      <c r="M13" s="6">
        <v>0.54900000000000004</v>
      </c>
      <c r="N13" s="6">
        <v>0.42</v>
      </c>
      <c r="O13" s="6">
        <v>0.42599999999999999</v>
      </c>
      <c r="P13" s="6">
        <v>0.54900000000000004</v>
      </c>
      <c r="Q13" s="6">
        <v>0.55600000000000005</v>
      </c>
      <c r="R13" s="6">
        <v>0.432</v>
      </c>
      <c r="S13" s="6">
        <v>0.53100000000000003</v>
      </c>
      <c r="T13" s="6">
        <v>0.52500000000000002</v>
      </c>
      <c r="U13" s="6">
        <v>0.438</v>
      </c>
      <c r="V13" s="6">
        <v>0.32700000000000001</v>
      </c>
      <c r="W13" s="6">
        <v>0.5</v>
      </c>
      <c r="X13" s="6">
        <v>0.50600000000000001</v>
      </c>
      <c r="Y13" s="6">
        <v>0.52500000000000002</v>
      </c>
      <c r="Z13" s="6">
        <v>0.52499999999999991</v>
      </c>
      <c r="AA13" s="6">
        <v>0.51900000000000002</v>
      </c>
      <c r="AB13" s="6">
        <v>0.54900000000000004</v>
      </c>
      <c r="AC13" s="6">
        <v>0.51200000000000001</v>
      </c>
      <c r="AD13" s="6">
        <v>0.54900000000000004</v>
      </c>
      <c r="AE13" s="6">
        <v>0.50600000000000001</v>
      </c>
    </row>
    <row r="14" spans="1:31" ht="24" customHeight="1" x14ac:dyDescent="0.2">
      <c r="A14" s="1" t="s">
        <v>55</v>
      </c>
      <c r="B14" s="4" t="s">
        <v>29</v>
      </c>
      <c r="C14" s="4" t="s">
        <v>29</v>
      </c>
      <c r="D14" s="4" t="s">
        <v>30</v>
      </c>
      <c r="E14" s="4" t="s">
        <v>29</v>
      </c>
      <c r="F14" s="4" t="s">
        <v>30</v>
      </c>
      <c r="G14" s="4" t="s">
        <v>30</v>
      </c>
      <c r="H14" s="4" t="s">
        <v>30</v>
      </c>
      <c r="I14" s="4" t="s">
        <v>30</v>
      </c>
      <c r="J14" s="4" t="s">
        <v>29</v>
      </c>
      <c r="K14" s="4" t="s">
        <v>29</v>
      </c>
      <c r="L14" s="4" t="s">
        <v>30</v>
      </c>
      <c r="M14" s="4" t="s">
        <v>29</v>
      </c>
      <c r="N14" s="4" t="s">
        <v>29</v>
      </c>
      <c r="O14" s="4" t="s">
        <v>29</v>
      </c>
      <c r="P14" s="4" t="s">
        <v>30</v>
      </c>
      <c r="Q14" s="4" t="s">
        <v>29</v>
      </c>
      <c r="R14" s="4" t="s">
        <v>29</v>
      </c>
      <c r="S14" s="4" t="s">
        <v>30</v>
      </c>
      <c r="T14" s="4" t="s">
        <v>29</v>
      </c>
      <c r="U14" s="4" t="s">
        <v>29</v>
      </c>
      <c r="V14" s="4" t="s">
        <v>29</v>
      </c>
      <c r="W14" s="4" t="s">
        <v>30</v>
      </c>
      <c r="X14" s="4" t="s">
        <v>29</v>
      </c>
      <c r="Y14" s="4" t="s">
        <v>29</v>
      </c>
      <c r="Z14" s="4" t="s">
        <v>30</v>
      </c>
      <c r="AA14" s="4" t="s">
        <v>30</v>
      </c>
      <c r="AB14" s="4" t="s">
        <v>30</v>
      </c>
      <c r="AC14" s="4" t="s">
        <v>29</v>
      </c>
      <c r="AD14" s="4" t="s">
        <v>29</v>
      </c>
      <c r="AE14" s="4" t="s">
        <v>30</v>
      </c>
    </row>
    <row r="15" spans="1:31" ht="24" customHeight="1" x14ac:dyDescent="0.2">
      <c r="A15" s="1" t="s">
        <v>56</v>
      </c>
      <c r="B15" s="8">
        <v>0.16600000000000001</v>
      </c>
      <c r="C15" s="8">
        <v>0.52400000000000002</v>
      </c>
      <c r="D15" s="8">
        <v>0.51200000000000001</v>
      </c>
      <c r="E15" s="8">
        <v>5.0000000000000001E-3</v>
      </c>
      <c r="F15" s="8">
        <v>0.92700000000000005</v>
      </c>
      <c r="G15" s="8">
        <v>0.56399999999999995</v>
      </c>
      <c r="H15" s="8">
        <v>0.50900000000000001</v>
      </c>
      <c r="I15" s="8">
        <v>0.23599999999999999</v>
      </c>
      <c r="J15" s="8">
        <v>0.25700000000000001</v>
      </c>
      <c r="K15" s="8">
        <v>0.19900000000000001</v>
      </c>
      <c r="L15" s="8">
        <v>0.65400000000000003</v>
      </c>
      <c r="M15" s="8">
        <v>0.70299999999999996</v>
      </c>
      <c r="N15" s="8">
        <v>3.5000000000000003E-2</v>
      </c>
      <c r="O15" s="8">
        <v>3.5000000000000003E-2</v>
      </c>
      <c r="P15" s="8">
        <v>0.69099999999999995</v>
      </c>
      <c r="Q15" s="8">
        <v>0.71799999999999997</v>
      </c>
      <c r="R15" s="8">
        <v>2.8000000000000001E-2</v>
      </c>
      <c r="S15" s="8">
        <v>0.54200000000000004</v>
      </c>
      <c r="T15" s="8">
        <v>0.499</v>
      </c>
      <c r="U15" s="8">
        <v>5.6000000000000001E-2</v>
      </c>
      <c r="V15" s="8">
        <v>0</v>
      </c>
      <c r="W15" s="8">
        <v>0.30599999999999999</v>
      </c>
      <c r="X15" s="8">
        <v>0.36499999999999999</v>
      </c>
      <c r="Y15" s="8">
        <v>0.49099999999999999</v>
      </c>
      <c r="Z15" s="8">
        <v>0.51300000000000001</v>
      </c>
      <c r="AA15" s="8">
        <v>0.46200000000000002</v>
      </c>
      <c r="AB15" s="8">
        <v>0.65300000000000002</v>
      </c>
      <c r="AC15" s="8">
        <v>0.34100000000000003</v>
      </c>
      <c r="AD15" s="8">
        <v>0.68100000000000005</v>
      </c>
      <c r="AE15" s="8">
        <v>0.34399999999999997</v>
      </c>
    </row>
    <row r="16" spans="1:31" ht="24" customHeight="1" x14ac:dyDescent="0.2">
      <c r="A16" s="1" t="s">
        <v>57</v>
      </c>
      <c r="B16" s="9">
        <f>B6-B8</f>
        <v>4.0499999999999972</v>
      </c>
      <c r="C16" s="9">
        <f t="shared" ref="C16:AE16" si="5">C6-C8</f>
        <v>-5.0499999999999972</v>
      </c>
      <c r="D16" s="9">
        <f t="shared" si="5"/>
        <v>5.9220000000000113</v>
      </c>
      <c r="E16" s="9">
        <f t="shared" si="5"/>
        <v>-20.018000000000001</v>
      </c>
      <c r="F16" s="9">
        <f t="shared" si="5"/>
        <v>-4.0379999999999967</v>
      </c>
      <c r="G16" s="9">
        <f t="shared" si="5"/>
        <v>5.9779999999999944</v>
      </c>
      <c r="H16" s="9">
        <f t="shared" si="5"/>
        <v>12.922000000000011</v>
      </c>
      <c r="I16" s="9">
        <f t="shared" si="5"/>
        <v>3.9440000000000026</v>
      </c>
      <c r="J16" s="9">
        <f t="shared" si="5"/>
        <v>-1.0560000000000116</v>
      </c>
      <c r="K16" s="9">
        <f t="shared" si="5"/>
        <v>-5.9500000000000028</v>
      </c>
      <c r="L16" s="9">
        <f t="shared" si="5"/>
        <v>-4.9660000000000082</v>
      </c>
      <c r="M16" s="9">
        <f t="shared" si="5"/>
        <v>-12.938000000000002</v>
      </c>
      <c r="N16" s="9">
        <f t="shared" si="5"/>
        <v>10.960000000000008</v>
      </c>
      <c r="O16" s="9">
        <f t="shared" si="5"/>
        <v>-3.0120000000000005</v>
      </c>
      <c r="P16" s="9">
        <f t="shared" si="5"/>
        <v>7.0619999999999976</v>
      </c>
      <c r="Q16" s="9">
        <f t="shared" si="5"/>
        <v>-3.0720000000000027</v>
      </c>
      <c r="R16" s="9">
        <f t="shared" si="5"/>
        <v>2.0160000000000053</v>
      </c>
      <c r="S16" s="9">
        <f t="shared" si="5"/>
        <v>3.9779999999999944</v>
      </c>
      <c r="T16" s="9">
        <f t="shared" si="5"/>
        <v>-4.0499999999999972</v>
      </c>
      <c r="U16" s="9">
        <f t="shared" si="5"/>
        <v>5.0439999999999969</v>
      </c>
      <c r="V16" s="9">
        <f t="shared" si="5"/>
        <v>7.0259999999999962</v>
      </c>
      <c r="W16" s="9">
        <f t="shared" si="5"/>
        <v>6</v>
      </c>
      <c r="X16" s="9">
        <f t="shared" si="5"/>
        <v>2.8000000000005798E-2</v>
      </c>
      <c r="Y16" s="9">
        <f t="shared" si="5"/>
        <v>-15.049999999999997</v>
      </c>
      <c r="Z16" s="9">
        <f t="shared" si="5"/>
        <v>2.9500000000000171</v>
      </c>
      <c r="AA16" s="9">
        <f t="shared" si="5"/>
        <v>4.921999999999997</v>
      </c>
      <c r="AB16" s="9">
        <f t="shared" si="5"/>
        <v>5.0619999999999976</v>
      </c>
      <c r="AC16" s="9">
        <f t="shared" si="5"/>
        <v>-5.9440000000000026</v>
      </c>
      <c r="AD16" s="9">
        <f t="shared" si="5"/>
        <v>-13.938000000000002</v>
      </c>
      <c r="AE16" s="9">
        <f t="shared" si="5"/>
        <v>12.028000000000006</v>
      </c>
    </row>
    <row r="17" spans="1:31" ht="24" customHeight="1" x14ac:dyDescent="0.2">
      <c r="A17" s="1" t="s">
        <v>58</v>
      </c>
      <c r="B17" s="7">
        <f>B11-B13</f>
        <v>2.5000000000000022E-2</v>
      </c>
      <c r="C17" s="7">
        <f t="shared" ref="C17:AE17" si="6">C11-C13</f>
        <v>-3.1172839506172889E-2</v>
      </c>
      <c r="D17" s="7">
        <f t="shared" si="6"/>
        <v>3.6555555555555674E-2</v>
      </c>
      <c r="E17" s="7">
        <f t="shared" si="6"/>
        <v>-0.1235679012345679</v>
      </c>
      <c r="F17" s="7">
        <f t="shared" si="6"/>
        <v>-2.4925925925925907E-2</v>
      </c>
      <c r="G17" s="7">
        <f t="shared" si="6"/>
        <v>3.6901234567901176E-2</v>
      </c>
      <c r="H17" s="7">
        <f t="shared" si="6"/>
        <v>7.9765432098765521E-2</v>
      </c>
      <c r="I17" s="7">
        <f t="shared" si="6"/>
        <v>2.4345679012345744E-2</v>
      </c>
      <c r="J17" s="7">
        <f t="shared" si="6"/>
        <v>-6.5185185185185901E-3</v>
      </c>
      <c r="K17" s="7">
        <f t="shared" si="6"/>
        <v>-3.6728395061728425E-2</v>
      </c>
      <c r="L17" s="7">
        <f t="shared" si="6"/>
        <v>-3.0654320987654304E-2</v>
      </c>
      <c r="M17" s="7">
        <f t="shared" si="6"/>
        <v>-7.9864197530864267E-2</v>
      </c>
      <c r="N17" s="7">
        <f t="shared" si="6"/>
        <v>6.7654320987654337E-2</v>
      </c>
      <c r="O17" s="7">
        <f t="shared" si="6"/>
        <v>-1.8592592592592605E-2</v>
      </c>
      <c r="P17" s="7">
        <f t="shared" si="6"/>
        <v>4.3592592592592516E-2</v>
      </c>
      <c r="Q17" s="7">
        <f t="shared" si="6"/>
        <v>-1.8962962962962959E-2</v>
      </c>
      <c r="R17" s="7">
        <f t="shared" si="6"/>
        <v>1.2444444444444425E-2</v>
      </c>
      <c r="S17" s="7">
        <f t="shared" si="6"/>
        <v>2.4555555555555553E-2</v>
      </c>
      <c r="T17" s="7">
        <f t="shared" si="6"/>
        <v>-2.5000000000000022E-2</v>
      </c>
      <c r="U17" s="7">
        <f t="shared" si="6"/>
        <v>3.1135802469135776E-2</v>
      </c>
      <c r="V17" s="7">
        <f t="shared" si="6"/>
        <v>4.3370370370370337E-2</v>
      </c>
      <c r="W17" s="7">
        <f t="shared" si="6"/>
        <v>3.703703703703709E-2</v>
      </c>
      <c r="X17" s="7">
        <f t="shared" si="6"/>
        <v>1.7283950617286159E-4</v>
      </c>
      <c r="Y17" s="7">
        <f t="shared" si="6"/>
        <v>-9.2901234567901281E-2</v>
      </c>
      <c r="Z17" s="7">
        <f t="shared" si="6"/>
        <v>1.8209876543209935E-2</v>
      </c>
      <c r="AA17" s="7">
        <f t="shared" si="6"/>
        <v>3.0382716049382696E-2</v>
      </c>
      <c r="AB17" s="7">
        <f t="shared" si="6"/>
        <v>3.1246913580246893E-2</v>
      </c>
      <c r="AC17" s="7">
        <f t="shared" si="6"/>
        <v>-3.6691358024691367E-2</v>
      </c>
      <c r="AD17" s="7">
        <f t="shared" si="6"/>
        <v>-8.6037037037037079E-2</v>
      </c>
      <c r="AE17" s="7">
        <f t="shared" si="6"/>
        <v>7.4246913580246932E-2</v>
      </c>
    </row>
    <row r="18" spans="1:31" ht="24" customHeight="1" x14ac:dyDescent="0.2">
      <c r="A18" s="1" t="s">
        <v>59</v>
      </c>
      <c r="B18" s="6">
        <v>0</v>
      </c>
      <c r="C18" s="6">
        <v>0</v>
      </c>
      <c r="D18" s="6">
        <v>100</v>
      </c>
      <c r="E18" s="6">
        <v>0</v>
      </c>
      <c r="F18" s="6">
        <v>100</v>
      </c>
      <c r="G18" s="6">
        <v>100</v>
      </c>
      <c r="H18" s="6">
        <v>100</v>
      </c>
      <c r="I18" s="6">
        <v>100</v>
      </c>
      <c r="J18" s="6">
        <v>0</v>
      </c>
      <c r="K18" s="6">
        <v>0</v>
      </c>
      <c r="L18" s="6">
        <v>100</v>
      </c>
      <c r="M18" s="6">
        <v>0</v>
      </c>
      <c r="N18" s="6">
        <v>0</v>
      </c>
      <c r="O18" s="6">
        <v>0</v>
      </c>
      <c r="P18" s="6">
        <v>100</v>
      </c>
      <c r="Q18" s="6">
        <v>0</v>
      </c>
      <c r="R18" s="6">
        <v>0</v>
      </c>
      <c r="S18" s="6">
        <v>100</v>
      </c>
      <c r="T18" s="6">
        <v>0</v>
      </c>
      <c r="U18" s="6">
        <v>0</v>
      </c>
      <c r="V18" s="6">
        <v>0</v>
      </c>
      <c r="W18" s="6">
        <v>100</v>
      </c>
      <c r="X18" s="6">
        <v>0</v>
      </c>
      <c r="Y18" s="6">
        <v>0</v>
      </c>
      <c r="Z18" s="6">
        <v>100</v>
      </c>
      <c r="AA18" s="6">
        <v>100</v>
      </c>
      <c r="AB18" s="6">
        <v>100</v>
      </c>
      <c r="AC18" s="6">
        <v>0</v>
      </c>
      <c r="AD18" s="6">
        <v>0</v>
      </c>
      <c r="AE18" s="6">
        <v>100</v>
      </c>
    </row>
    <row r="19" spans="1:31" ht="24" customHeight="1" x14ac:dyDescent="0.2">
      <c r="A19" s="1" t="s">
        <v>60</v>
      </c>
      <c r="B19" s="10">
        <f>B18/100</f>
        <v>0</v>
      </c>
      <c r="C19" s="10">
        <f t="shared" ref="C19:AE19" si="7">C18/100</f>
        <v>0</v>
      </c>
      <c r="D19" s="10">
        <f t="shared" si="7"/>
        <v>1</v>
      </c>
      <c r="E19" s="10">
        <f t="shared" si="7"/>
        <v>0</v>
      </c>
      <c r="F19" s="10">
        <f t="shared" si="7"/>
        <v>1</v>
      </c>
      <c r="G19" s="10">
        <f t="shared" si="7"/>
        <v>1</v>
      </c>
      <c r="H19" s="10">
        <f t="shared" si="7"/>
        <v>1</v>
      </c>
      <c r="I19" s="10">
        <f t="shared" si="7"/>
        <v>1</v>
      </c>
      <c r="J19" s="10">
        <f t="shared" si="7"/>
        <v>0</v>
      </c>
      <c r="K19" s="10">
        <f t="shared" si="7"/>
        <v>0</v>
      </c>
      <c r="L19" s="10">
        <f t="shared" si="7"/>
        <v>1</v>
      </c>
      <c r="M19" s="10">
        <f t="shared" si="7"/>
        <v>0</v>
      </c>
      <c r="N19" s="10">
        <f t="shared" si="7"/>
        <v>0</v>
      </c>
      <c r="O19" s="10">
        <f t="shared" si="7"/>
        <v>0</v>
      </c>
      <c r="P19" s="10">
        <f t="shared" si="7"/>
        <v>1</v>
      </c>
      <c r="Q19" s="10">
        <f t="shared" si="7"/>
        <v>0</v>
      </c>
      <c r="R19" s="10">
        <f t="shared" si="7"/>
        <v>0</v>
      </c>
      <c r="S19" s="10">
        <f t="shared" si="7"/>
        <v>1</v>
      </c>
      <c r="T19" s="10">
        <f t="shared" si="7"/>
        <v>0</v>
      </c>
      <c r="U19" s="10">
        <f t="shared" si="7"/>
        <v>0</v>
      </c>
      <c r="V19" s="10">
        <f t="shared" si="7"/>
        <v>0</v>
      </c>
      <c r="W19" s="10">
        <f t="shared" si="7"/>
        <v>1</v>
      </c>
      <c r="X19" s="10">
        <f t="shared" si="7"/>
        <v>0</v>
      </c>
      <c r="Y19" s="10">
        <f t="shared" si="7"/>
        <v>0</v>
      </c>
      <c r="Z19" s="10">
        <f t="shared" si="7"/>
        <v>1</v>
      </c>
      <c r="AA19" s="10">
        <f t="shared" si="7"/>
        <v>1</v>
      </c>
      <c r="AB19" s="10">
        <f t="shared" si="7"/>
        <v>1</v>
      </c>
      <c r="AC19" s="10">
        <f t="shared" si="7"/>
        <v>0</v>
      </c>
      <c r="AD19" s="10">
        <f t="shared" si="7"/>
        <v>0</v>
      </c>
      <c r="AE19" s="10">
        <f t="shared" si="7"/>
        <v>1</v>
      </c>
    </row>
    <row r="20" spans="1:31" ht="24" customHeight="1" x14ac:dyDescent="0.2">
      <c r="A20" s="1" t="s">
        <v>61</v>
      </c>
      <c r="B20" s="6" t="str">
        <f>IF((B19-B15)&gt;0, "↑" &amp; TEXT(B19-B15,"0.0%"), "↓" &amp; TEXT(ABS(B19-B15),"0.0%")) &amp; "  → " &amp; TEXT(B19,"0.0%")</f>
        <v>↓16.6%  → 0.0%</v>
      </c>
      <c r="C20" s="6" t="str">
        <f t="shared" ref="C20:AE20" si="8">IF((C19-C15)&gt;0, "↑" &amp; TEXT(C19-C15,"0.0%"), "↓" &amp; TEXT(ABS(C19-C15),"0.0%")) &amp; "  → " &amp; TEXT(C19,"0.0%")</f>
        <v>↓52.4%  → 0.0%</v>
      </c>
      <c r="D20" s="6" t="str">
        <f t="shared" si="8"/>
        <v>↑48.8%  → 100.0%</v>
      </c>
      <c r="E20" s="6" t="str">
        <f t="shared" si="8"/>
        <v>↓0.5%  → 0.0%</v>
      </c>
      <c r="F20" s="6" t="str">
        <f t="shared" si="8"/>
        <v>↑7.3%  → 100.0%</v>
      </c>
      <c r="G20" s="6" t="str">
        <f t="shared" si="8"/>
        <v>↑43.6%  → 100.0%</v>
      </c>
      <c r="H20" s="6" t="str">
        <f t="shared" si="8"/>
        <v>↑49.1%  → 100.0%</v>
      </c>
      <c r="I20" s="6" t="str">
        <f t="shared" si="8"/>
        <v>↑76.4%  → 100.0%</v>
      </c>
      <c r="J20" s="6" t="str">
        <f t="shared" si="8"/>
        <v>↓25.7%  → 0.0%</v>
      </c>
      <c r="K20" s="6" t="str">
        <f t="shared" si="8"/>
        <v>↓19.9%  → 0.0%</v>
      </c>
      <c r="L20" s="6" t="str">
        <f t="shared" si="8"/>
        <v>↑34.6%  → 100.0%</v>
      </c>
      <c r="M20" s="6" t="str">
        <f t="shared" si="8"/>
        <v>↓70.3%  → 0.0%</v>
      </c>
      <c r="N20" s="6" t="str">
        <f t="shared" si="8"/>
        <v>↓3.5%  → 0.0%</v>
      </c>
      <c r="O20" s="6" t="str">
        <f t="shared" si="8"/>
        <v>↓3.5%  → 0.0%</v>
      </c>
      <c r="P20" s="6" t="str">
        <f t="shared" si="8"/>
        <v>↑30.9%  → 100.0%</v>
      </c>
      <c r="Q20" s="6" t="str">
        <f t="shared" si="8"/>
        <v>↓71.8%  → 0.0%</v>
      </c>
      <c r="R20" s="6" t="str">
        <f t="shared" si="8"/>
        <v>↓2.8%  → 0.0%</v>
      </c>
      <c r="S20" s="6" t="str">
        <f t="shared" si="8"/>
        <v>↑45.8%  → 100.0%</v>
      </c>
      <c r="T20" s="6" t="str">
        <f t="shared" si="8"/>
        <v>↓49.9%  → 0.0%</v>
      </c>
      <c r="U20" s="6" t="str">
        <f t="shared" si="8"/>
        <v>↓5.6%  → 0.0%</v>
      </c>
      <c r="V20" s="6" t="str">
        <f t="shared" si="8"/>
        <v>↓0.0%  → 0.0%</v>
      </c>
      <c r="W20" s="6" t="str">
        <f t="shared" si="8"/>
        <v>↑69.4%  → 100.0%</v>
      </c>
      <c r="X20" s="6" t="str">
        <f t="shared" si="8"/>
        <v>↓36.5%  → 0.0%</v>
      </c>
      <c r="Y20" s="6" t="str">
        <f t="shared" si="8"/>
        <v>↓49.1%  → 0.0%</v>
      </c>
      <c r="Z20" s="6" t="str">
        <f t="shared" si="8"/>
        <v>↑48.7%  → 100.0%</v>
      </c>
      <c r="AA20" s="6" t="str">
        <f t="shared" si="8"/>
        <v>↑53.8%  → 100.0%</v>
      </c>
      <c r="AB20" s="6" t="str">
        <f t="shared" si="8"/>
        <v>↑34.7%  → 100.0%</v>
      </c>
      <c r="AC20" s="6" t="str">
        <f t="shared" si="8"/>
        <v>↓34.1%  → 0.0%</v>
      </c>
      <c r="AD20" s="6" t="str">
        <f t="shared" si="8"/>
        <v>↓68.1%  → 0.0%</v>
      </c>
      <c r="AE20" s="6" t="str">
        <f t="shared" si="8"/>
        <v>↑65.6%  → 100.0%</v>
      </c>
    </row>
    <row r="23" spans="1:31" s="6" customFormat="1" x14ac:dyDescent="0.2">
      <c r="A23" s="1"/>
    </row>
    <row r="24" spans="1:31" x14ac:dyDescent="0.2">
      <c r="A24" s="1"/>
    </row>
    <row r="25" spans="1:31" x14ac:dyDescent="0.2">
      <c r="A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4002-E395-DF46-B01F-7AE7640FBB33}">
  <dimension ref="A1:AE36"/>
  <sheetViews>
    <sheetView tabSelected="1" workbookViewId="0">
      <selection activeCell="D20" sqref="D20"/>
    </sheetView>
  </sheetViews>
  <sheetFormatPr baseColWidth="10" defaultRowHeight="16" x14ac:dyDescent="0.2"/>
  <cols>
    <col min="1" max="1" width="17.1640625" style="20" customWidth="1"/>
    <col min="2" max="31" width="15.5" style="13" customWidth="1"/>
    <col min="32" max="16384" width="10.83203125" style="13"/>
  </cols>
  <sheetData>
    <row r="1" spans="1:31" ht="32" customHeight="1" x14ac:dyDescent="0.2">
      <c r="A1" s="11" t="s">
        <v>31</v>
      </c>
      <c r="B1" s="12" t="s">
        <v>32</v>
      </c>
      <c r="C1" s="12" t="s">
        <v>33</v>
      </c>
      <c r="D1" s="12" t="s">
        <v>34</v>
      </c>
      <c r="E1" s="12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0</v>
      </c>
      <c r="N1" s="12" t="s">
        <v>1</v>
      </c>
      <c r="O1" s="12" t="s">
        <v>2</v>
      </c>
      <c r="P1" s="12" t="s">
        <v>3</v>
      </c>
      <c r="Q1" s="12" t="s">
        <v>4</v>
      </c>
      <c r="R1" s="12" t="s">
        <v>5</v>
      </c>
      <c r="S1" s="12" t="s">
        <v>6</v>
      </c>
      <c r="T1" s="12" t="s">
        <v>7</v>
      </c>
      <c r="U1" s="12" t="s">
        <v>8</v>
      </c>
      <c r="V1" s="12" t="s">
        <v>9</v>
      </c>
      <c r="W1" s="12" t="s">
        <v>10</v>
      </c>
      <c r="X1" s="12" t="s">
        <v>11</v>
      </c>
      <c r="Y1" s="12" t="s">
        <v>12</v>
      </c>
      <c r="Z1" s="12" t="s">
        <v>13</v>
      </c>
      <c r="AA1" s="12" t="s">
        <v>14</v>
      </c>
      <c r="AB1" s="12" t="s">
        <v>15</v>
      </c>
      <c r="AC1" s="12" t="s">
        <v>16</v>
      </c>
      <c r="AD1" s="12" t="s">
        <v>17</v>
      </c>
      <c r="AE1" s="12" t="s">
        <v>18</v>
      </c>
    </row>
    <row r="2" spans="1:31" ht="24" customHeight="1" x14ac:dyDescent="0.2">
      <c r="A2" s="11" t="s">
        <v>43</v>
      </c>
      <c r="B2" s="14" t="s">
        <v>19</v>
      </c>
      <c r="C2" s="14" t="s">
        <v>19</v>
      </c>
      <c r="D2" s="14" t="s">
        <v>19</v>
      </c>
      <c r="E2" s="14" t="s">
        <v>19</v>
      </c>
      <c r="F2" s="14" t="s">
        <v>19</v>
      </c>
      <c r="G2" s="14" t="s">
        <v>19</v>
      </c>
      <c r="H2" s="14" t="s">
        <v>19</v>
      </c>
      <c r="I2" s="14" t="s">
        <v>19</v>
      </c>
      <c r="J2" s="14" t="s">
        <v>19</v>
      </c>
      <c r="K2" s="14" t="s">
        <v>19</v>
      </c>
      <c r="L2" s="14" t="s">
        <v>19</v>
      </c>
      <c r="M2" s="14" t="s">
        <v>19</v>
      </c>
      <c r="N2" s="14" t="s">
        <v>19</v>
      </c>
      <c r="O2" s="14" t="s">
        <v>19</v>
      </c>
      <c r="P2" s="14" t="s">
        <v>19</v>
      </c>
      <c r="Q2" s="14" t="s">
        <v>20</v>
      </c>
      <c r="R2" s="14" t="s">
        <v>20</v>
      </c>
      <c r="S2" s="14" t="s">
        <v>20</v>
      </c>
      <c r="T2" s="14" t="s">
        <v>20</v>
      </c>
      <c r="U2" s="14" t="s">
        <v>20</v>
      </c>
      <c r="V2" s="14" t="s">
        <v>20</v>
      </c>
      <c r="W2" s="14" t="s">
        <v>20</v>
      </c>
      <c r="X2" s="14" t="s">
        <v>20</v>
      </c>
      <c r="Y2" s="14" t="s">
        <v>20</v>
      </c>
      <c r="Z2" s="14" t="s">
        <v>20</v>
      </c>
      <c r="AA2" s="14" t="s">
        <v>20</v>
      </c>
      <c r="AB2" s="14" t="s">
        <v>20</v>
      </c>
      <c r="AC2" s="14" t="s">
        <v>20</v>
      </c>
      <c r="AD2" s="14" t="s">
        <v>20</v>
      </c>
      <c r="AE2" s="14" t="s">
        <v>20</v>
      </c>
    </row>
    <row r="3" spans="1:31" ht="24" customHeight="1" x14ac:dyDescent="0.2">
      <c r="A3" s="11" t="s">
        <v>44</v>
      </c>
      <c r="B3" s="14" t="s">
        <v>22</v>
      </c>
      <c r="C3" s="14" t="s">
        <v>22</v>
      </c>
      <c r="D3" s="14" t="s">
        <v>22</v>
      </c>
      <c r="E3" s="14" t="s">
        <v>22</v>
      </c>
      <c r="F3" s="14" t="s">
        <v>22</v>
      </c>
      <c r="G3" s="14" t="s">
        <v>23</v>
      </c>
      <c r="H3" s="14" t="s">
        <v>23</v>
      </c>
      <c r="I3" s="14" t="s">
        <v>23</v>
      </c>
      <c r="J3" s="14" t="s">
        <v>23</v>
      </c>
      <c r="K3" s="14" t="s">
        <v>23</v>
      </c>
      <c r="L3" s="14" t="s">
        <v>21</v>
      </c>
      <c r="M3" s="14" t="s">
        <v>21</v>
      </c>
      <c r="N3" s="14" t="s">
        <v>21</v>
      </c>
      <c r="O3" s="14" t="s">
        <v>21</v>
      </c>
      <c r="P3" s="14" t="s">
        <v>21</v>
      </c>
      <c r="Q3" s="14" t="s">
        <v>22</v>
      </c>
      <c r="R3" s="14" t="s">
        <v>22</v>
      </c>
      <c r="S3" s="14" t="s">
        <v>22</v>
      </c>
      <c r="T3" s="14" t="s">
        <v>22</v>
      </c>
      <c r="U3" s="14" t="s">
        <v>22</v>
      </c>
      <c r="V3" s="14" t="s">
        <v>23</v>
      </c>
      <c r="W3" s="14" t="s">
        <v>23</v>
      </c>
      <c r="X3" s="14" t="s">
        <v>23</v>
      </c>
      <c r="Y3" s="14" t="s">
        <v>23</v>
      </c>
      <c r="Z3" s="14" t="s">
        <v>23</v>
      </c>
      <c r="AA3" s="14" t="s">
        <v>21</v>
      </c>
      <c r="AB3" s="14" t="s">
        <v>21</v>
      </c>
      <c r="AC3" s="14" t="s">
        <v>21</v>
      </c>
      <c r="AD3" s="14" t="s">
        <v>21</v>
      </c>
      <c r="AE3" s="14" t="s">
        <v>21</v>
      </c>
    </row>
    <row r="4" spans="1:31" ht="24" customHeight="1" x14ac:dyDescent="0.2">
      <c r="A4" s="11" t="s">
        <v>45</v>
      </c>
      <c r="B4" s="14" t="s">
        <v>24</v>
      </c>
      <c r="C4" s="14" t="s">
        <v>25</v>
      </c>
      <c r="D4" s="14" t="s">
        <v>28</v>
      </c>
      <c r="E4" s="14" t="s">
        <v>26</v>
      </c>
      <c r="F4" s="14" t="s">
        <v>27</v>
      </c>
      <c r="G4" s="14" t="s">
        <v>27</v>
      </c>
      <c r="H4" s="14" t="s">
        <v>28</v>
      </c>
      <c r="I4" s="14" t="s">
        <v>25</v>
      </c>
      <c r="J4" s="14" t="s">
        <v>24</v>
      </c>
      <c r="K4" s="14" t="s">
        <v>26</v>
      </c>
      <c r="L4" s="14" t="s">
        <v>28</v>
      </c>
      <c r="M4" s="14" t="s">
        <v>24</v>
      </c>
      <c r="N4" s="14" t="s">
        <v>25</v>
      </c>
      <c r="O4" s="14" t="s">
        <v>26</v>
      </c>
      <c r="P4" s="14" t="s">
        <v>27</v>
      </c>
      <c r="Q4" s="14" t="s">
        <v>27</v>
      </c>
      <c r="R4" s="14" t="s">
        <v>24</v>
      </c>
      <c r="S4" s="14" t="s">
        <v>28</v>
      </c>
      <c r="T4" s="14" t="s">
        <v>25</v>
      </c>
      <c r="U4" s="14" t="s">
        <v>26</v>
      </c>
      <c r="V4" s="14" t="s">
        <v>26</v>
      </c>
      <c r="W4" s="14" t="s">
        <v>27</v>
      </c>
      <c r="X4" s="14" t="s">
        <v>25</v>
      </c>
      <c r="Y4" s="14" t="s">
        <v>24</v>
      </c>
      <c r="Z4" s="14" t="s">
        <v>28</v>
      </c>
      <c r="AA4" s="14" t="s">
        <v>25</v>
      </c>
      <c r="AB4" s="14" t="s">
        <v>27</v>
      </c>
      <c r="AC4" s="14" t="s">
        <v>28</v>
      </c>
      <c r="AD4" s="14" t="s">
        <v>26</v>
      </c>
      <c r="AE4" s="14" t="s">
        <v>24</v>
      </c>
    </row>
    <row r="5" spans="1:31" ht="24" customHeight="1" x14ac:dyDescent="0.2">
      <c r="A5" s="11" t="s">
        <v>46</v>
      </c>
      <c r="B5" s="14">
        <f>B6+B7</f>
        <v>85</v>
      </c>
      <c r="C5" s="14">
        <f t="shared" ref="C5:AE5" si="0">C6+C7</f>
        <v>84</v>
      </c>
      <c r="D5" s="14">
        <f t="shared" si="0"/>
        <v>84</v>
      </c>
      <c r="E5" s="14">
        <f t="shared" si="0"/>
        <v>84</v>
      </c>
      <c r="F5" s="14">
        <f t="shared" si="0"/>
        <v>85</v>
      </c>
      <c r="G5" s="14">
        <f t="shared" si="0"/>
        <v>84</v>
      </c>
      <c r="H5" s="14">
        <f t="shared" si="0"/>
        <v>84</v>
      </c>
      <c r="I5" s="14">
        <f t="shared" si="0"/>
        <v>85</v>
      </c>
      <c r="J5" s="14">
        <f t="shared" si="0"/>
        <v>86</v>
      </c>
      <c r="K5" s="14">
        <f t="shared" si="0"/>
        <v>86</v>
      </c>
      <c r="L5" s="14">
        <f t="shared" si="0"/>
        <v>85</v>
      </c>
      <c r="M5" s="14">
        <f t="shared" si="0"/>
        <v>83</v>
      </c>
      <c r="N5" s="14">
        <f t="shared" si="0"/>
        <v>82</v>
      </c>
      <c r="O5" s="14">
        <f t="shared" si="0"/>
        <v>84</v>
      </c>
      <c r="P5" s="14">
        <f t="shared" si="0"/>
        <v>85</v>
      </c>
      <c r="Q5" s="14">
        <f t="shared" si="0"/>
        <v>84</v>
      </c>
      <c r="R5" s="14">
        <f t="shared" si="0"/>
        <v>83</v>
      </c>
      <c r="S5" s="14">
        <f t="shared" si="0"/>
        <v>84</v>
      </c>
      <c r="T5" s="14">
        <f t="shared" si="0"/>
        <v>85</v>
      </c>
      <c r="U5" s="14">
        <f t="shared" si="0"/>
        <v>87</v>
      </c>
      <c r="V5" s="14">
        <f t="shared" si="0"/>
        <v>84</v>
      </c>
      <c r="W5" s="14">
        <f t="shared" si="0"/>
        <v>85</v>
      </c>
      <c r="X5" s="14">
        <f t="shared" si="0"/>
        <v>85</v>
      </c>
      <c r="Y5" s="14">
        <f t="shared" si="0"/>
        <v>84</v>
      </c>
      <c r="Z5" s="14">
        <f t="shared" si="0"/>
        <v>82</v>
      </c>
      <c r="AA5" s="14">
        <f t="shared" si="0"/>
        <v>86</v>
      </c>
      <c r="AB5" s="14">
        <f t="shared" si="0"/>
        <v>84</v>
      </c>
      <c r="AC5" s="14">
        <f t="shared" si="0"/>
        <v>85</v>
      </c>
      <c r="AD5" s="14">
        <f t="shared" si="0"/>
        <v>84</v>
      </c>
      <c r="AE5" s="14">
        <f t="shared" si="0"/>
        <v>84</v>
      </c>
    </row>
    <row r="6" spans="1:31" ht="24" customHeight="1" x14ac:dyDescent="0.2">
      <c r="A6" s="11" t="s">
        <v>47</v>
      </c>
      <c r="B6" s="14">
        <v>45</v>
      </c>
      <c r="C6" s="14">
        <v>42</v>
      </c>
      <c r="D6" s="14">
        <v>45</v>
      </c>
      <c r="E6" s="14">
        <v>19</v>
      </c>
      <c r="F6" s="14">
        <v>53</v>
      </c>
      <c r="G6" s="14">
        <v>49</v>
      </c>
      <c r="H6" s="14">
        <v>47</v>
      </c>
      <c r="I6" s="14">
        <v>44</v>
      </c>
      <c r="J6" s="14">
        <v>47</v>
      </c>
      <c r="K6" s="14">
        <v>36</v>
      </c>
      <c r="L6" s="14">
        <v>48</v>
      </c>
      <c r="M6" s="14">
        <v>38</v>
      </c>
      <c r="N6" s="14">
        <v>37</v>
      </c>
      <c r="O6" s="14">
        <v>35</v>
      </c>
      <c r="P6" s="14">
        <v>50</v>
      </c>
      <c r="Q6" s="14">
        <v>50</v>
      </c>
      <c r="R6" s="14">
        <v>41</v>
      </c>
      <c r="S6" s="14">
        <v>44</v>
      </c>
      <c r="T6" s="14">
        <v>41</v>
      </c>
      <c r="U6" s="14">
        <v>35</v>
      </c>
      <c r="V6" s="14">
        <v>28</v>
      </c>
      <c r="W6" s="14">
        <v>53</v>
      </c>
      <c r="X6" s="14">
        <v>39</v>
      </c>
      <c r="Y6" s="14">
        <v>40</v>
      </c>
      <c r="Z6" s="14">
        <v>40</v>
      </c>
      <c r="AA6" s="14">
        <v>42</v>
      </c>
      <c r="AB6" s="14">
        <v>48</v>
      </c>
      <c r="AC6" s="14">
        <v>47</v>
      </c>
      <c r="AD6" s="14">
        <v>37</v>
      </c>
      <c r="AE6" s="14">
        <v>46</v>
      </c>
    </row>
    <row r="7" spans="1:31" ht="24" customHeight="1" x14ac:dyDescent="0.2">
      <c r="A7" s="11" t="s">
        <v>48</v>
      </c>
      <c r="B7" s="14">
        <v>40</v>
      </c>
      <c r="C7" s="14">
        <v>42</v>
      </c>
      <c r="D7" s="14">
        <v>39</v>
      </c>
      <c r="E7" s="14">
        <v>65</v>
      </c>
      <c r="F7" s="14">
        <v>32</v>
      </c>
      <c r="G7" s="14">
        <v>35</v>
      </c>
      <c r="H7" s="14">
        <v>37</v>
      </c>
      <c r="I7" s="14">
        <v>41</v>
      </c>
      <c r="J7" s="14">
        <v>39</v>
      </c>
      <c r="K7" s="14">
        <v>50</v>
      </c>
      <c r="L7" s="14">
        <v>37</v>
      </c>
      <c r="M7" s="14">
        <v>45</v>
      </c>
      <c r="N7" s="14">
        <v>45</v>
      </c>
      <c r="O7" s="14">
        <v>49</v>
      </c>
      <c r="P7" s="14">
        <v>35</v>
      </c>
      <c r="Q7" s="14">
        <v>34</v>
      </c>
      <c r="R7" s="14">
        <v>42</v>
      </c>
      <c r="S7" s="14">
        <v>40</v>
      </c>
      <c r="T7" s="14">
        <v>44</v>
      </c>
      <c r="U7" s="14">
        <v>52</v>
      </c>
      <c r="V7" s="14">
        <v>56</v>
      </c>
      <c r="W7" s="14">
        <v>32</v>
      </c>
      <c r="X7" s="14">
        <v>46</v>
      </c>
      <c r="Y7" s="14">
        <v>44</v>
      </c>
      <c r="Z7" s="14">
        <v>42</v>
      </c>
      <c r="AA7" s="14">
        <v>44</v>
      </c>
      <c r="AB7" s="14">
        <v>36</v>
      </c>
      <c r="AC7" s="14">
        <v>38</v>
      </c>
      <c r="AD7" s="14">
        <v>47</v>
      </c>
      <c r="AE7" s="14">
        <v>38</v>
      </c>
    </row>
    <row r="8" spans="1:31" ht="24" customHeight="1" x14ac:dyDescent="0.2">
      <c r="A8" s="11" t="s">
        <v>49</v>
      </c>
      <c r="B8" s="15">
        <v>40.375</v>
      </c>
      <c r="C8" s="15">
        <v>44.1</v>
      </c>
      <c r="D8" s="15">
        <v>43.595999999999997</v>
      </c>
      <c r="E8" s="15">
        <v>32.676000000000002</v>
      </c>
      <c r="F8" s="15">
        <v>50.914999999999999</v>
      </c>
      <c r="G8" s="15">
        <v>44.603999999999999</v>
      </c>
      <c r="H8" s="15">
        <v>43.595999999999997</v>
      </c>
      <c r="I8" s="15">
        <v>41.48</v>
      </c>
      <c r="J8" s="15">
        <v>41.968000000000004</v>
      </c>
      <c r="K8" s="15">
        <v>40.85</v>
      </c>
      <c r="L8" s="15">
        <v>46.155000000000001</v>
      </c>
      <c r="M8" s="15">
        <v>45.567</v>
      </c>
      <c r="N8" s="15">
        <v>34.44</v>
      </c>
      <c r="O8" s="15">
        <v>35.783999999999999</v>
      </c>
      <c r="P8" s="15">
        <v>46.664999999999999</v>
      </c>
      <c r="Q8" s="15">
        <v>46.704000000000001</v>
      </c>
      <c r="R8" s="15">
        <v>35.856000000000002</v>
      </c>
      <c r="S8" s="15">
        <v>44.603999999999999</v>
      </c>
      <c r="T8" s="15">
        <v>44.625</v>
      </c>
      <c r="U8" s="15">
        <v>38.106000000000002</v>
      </c>
      <c r="V8" s="15">
        <v>27.468</v>
      </c>
      <c r="W8" s="15">
        <v>42.5</v>
      </c>
      <c r="X8" s="15">
        <v>43.01</v>
      </c>
      <c r="Y8" s="15">
        <v>44.1</v>
      </c>
      <c r="Z8" s="15">
        <v>43.05</v>
      </c>
      <c r="AA8" s="15">
        <v>44.634</v>
      </c>
      <c r="AB8" s="15">
        <v>46.116</v>
      </c>
      <c r="AC8" s="15">
        <v>43.52</v>
      </c>
      <c r="AD8" s="15">
        <v>46.116</v>
      </c>
      <c r="AE8" s="15">
        <v>42.503999999999998</v>
      </c>
    </row>
    <row r="9" spans="1:31" ht="24" customHeight="1" x14ac:dyDescent="0.2">
      <c r="A9" s="11" t="s">
        <v>50</v>
      </c>
      <c r="B9" s="15">
        <v>44.625</v>
      </c>
      <c r="C9" s="15">
        <v>39.9</v>
      </c>
      <c r="D9" s="15">
        <v>40.404000000000003</v>
      </c>
      <c r="E9" s="15">
        <v>51.323999999999998</v>
      </c>
      <c r="F9" s="15">
        <v>34.085000000000001</v>
      </c>
      <c r="G9" s="15">
        <v>39.396000000000001</v>
      </c>
      <c r="H9" s="15">
        <v>40.404000000000003</v>
      </c>
      <c r="I9" s="15">
        <v>43.52</v>
      </c>
      <c r="J9" s="15">
        <v>44.031999999999996</v>
      </c>
      <c r="K9" s="15">
        <v>45.15</v>
      </c>
      <c r="L9" s="15">
        <v>38.844999999999999</v>
      </c>
      <c r="M9" s="15">
        <v>37.433</v>
      </c>
      <c r="N9" s="15">
        <v>47.56</v>
      </c>
      <c r="O9" s="15">
        <v>48.216000000000001</v>
      </c>
      <c r="P9" s="15">
        <v>38.335000000000001</v>
      </c>
      <c r="Q9" s="15">
        <v>37.295999999999999</v>
      </c>
      <c r="R9" s="15">
        <v>47.143999999999998</v>
      </c>
      <c r="S9" s="15">
        <v>39.396000000000001</v>
      </c>
      <c r="T9" s="15">
        <v>40.375</v>
      </c>
      <c r="U9" s="15">
        <v>48.893999999999998</v>
      </c>
      <c r="V9" s="15">
        <v>56.531999999999996</v>
      </c>
      <c r="W9" s="15">
        <v>42.5</v>
      </c>
      <c r="X9" s="15">
        <v>41.99</v>
      </c>
      <c r="Y9" s="15">
        <v>39.9</v>
      </c>
      <c r="Z9" s="15">
        <v>38.950000000000003</v>
      </c>
      <c r="AA9" s="15">
        <v>41.366</v>
      </c>
      <c r="AB9" s="15">
        <v>37.884</v>
      </c>
      <c r="AC9" s="15">
        <v>41.48</v>
      </c>
      <c r="AD9" s="15">
        <v>37.884</v>
      </c>
      <c r="AE9" s="15">
        <v>41.496000000000002</v>
      </c>
    </row>
    <row r="10" spans="1:31" ht="24" customHeight="1" x14ac:dyDescent="0.2">
      <c r="A10" s="11" t="s">
        <v>51</v>
      </c>
      <c r="B10" s="13" t="str">
        <f>B6&amp;"-"&amp;B7</f>
        <v>45-40</v>
      </c>
      <c r="C10" s="13" t="str">
        <f t="shared" ref="C10:AE10" si="1">C6&amp;"-"&amp;C7</f>
        <v>42-42</v>
      </c>
      <c r="D10" s="13" t="str">
        <f t="shared" si="1"/>
        <v>45-39</v>
      </c>
      <c r="E10" s="13" t="str">
        <f t="shared" si="1"/>
        <v>19-65</v>
      </c>
      <c r="F10" s="13" t="str">
        <f t="shared" si="1"/>
        <v>53-32</v>
      </c>
      <c r="G10" s="13" t="str">
        <f t="shared" si="1"/>
        <v>49-35</v>
      </c>
      <c r="H10" s="13" t="str">
        <f t="shared" si="1"/>
        <v>47-37</v>
      </c>
      <c r="I10" s="13" t="str">
        <f t="shared" si="1"/>
        <v>44-41</v>
      </c>
      <c r="J10" s="13" t="str">
        <f t="shared" si="1"/>
        <v>47-39</v>
      </c>
      <c r="K10" s="13" t="str">
        <f t="shared" si="1"/>
        <v>36-50</v>
      </c>
      <c r="L10" s="13" t="str">
        <f t="shared" si="1"/>
        <v>48-37</v>
      </c>
      <c r="M10" s="13" t="str">
        <f t="shared" si="1"/>
        <v>38-45</v>
      </c>
      <c r="N10" s="13" t="str">
        <f t="shared" si="1"/>
        <v>37-45</v>
      </c>
      <c r="O10" s="13" t="str">
        <f t="shared" si="1"/>
        <v>35-49</v>
      </c>
      <c r="P10" s="13" t="str">
        <f t="shared" si="1"/>
        <v>50-35</v>
      </c>
      <c r="Q10" s="13" t="str">
        <f t="shared" si="1"/>
        <v>50-34</v>
      </c>
      <c r="R10" s="13" t="str">
        <f t="shared" si="1"/>
        <v>41-42</v>
      </c>
      <c r="S10" s="13" t="str">
        <f t="shared" si="1"/>
        <v>44-40</v>
      </c>
      <c r="T10" s="13" t="str">
        <f t="shared" si="1"/>
        <v>41-44</v>
      </c>
      <c r="U10" s="13" t="str">
        <f t="shared" si="1"/>
        <v>35-52</v>
      </c>
      <c r="V10" s="13" t="str">
        <f t="shared" si="1"/>
        <v>28-56</v>
      </c>
      <c r="W10" s="13" t="str">
        <f t="shared" si="1"/>
        <v>53-32</v>
      </c>
      <c r="X10" s="13" t="str">
        <f t="shared" si="1"/>
        <v>39-46</v>
      </c>
      <c r="Y10" s="13" t="str">
        <f t="shared" si="1"/>
        <v>40-44</v>
      </c>
      <c r="Z10" s="13" t="str">
        <f t="shared" si="1"/>
        <v>40-42</v>
      </c>
      <c r="AA10" s="13" t="str">
        <f t="shared" si="1"/>
        <v>42-44</v>
      </c>
      <c r="AB10" s="13" t="str">
        <f t="shared" si="1"/>
        <v>48-36</v>
      </c>
      <c r="AC10" s="13" t="str">
        <f t="shared" si="1"/>
        <v>47-38</v>
      </c>
      <c r="AD10" s="13" t="str">
        <f t="shared" si="1"/>
        <v>37-47</v>
      </c>
      <c r="AE10" s="13" t="str">
        <f t="shared" si="1"/>
        <v>46-38</v>
      </c>
    </row>
    <row r="11" spans="1:31" ht="24" customHeight="1" x14ac:dyDescent="0.2">
      <c r="A11" s="11" t="s">
        <v>52</v>
      </c>
      <c r="B11" s="16">
        <f>B6/B5</f>
        <v>0.52941176470588236</v>
      </c>
      <c r="C11" s="16">
        <f t="shared" ref="C11:AE11" si="2">C6/C5</f>
        <v>0.5</v>
      </c>
      <c r="D11" s="16">
        <f t="shared" si="2"/>
        <v>0.5357142857142857</v>
      </c>
      <c r="E11" s="16">
        <f t="shared" si="2"/>
        <v>0.22619047619047619</v>
      </c>
      <c r="F11" s="16">
        <f t="shared" si="2"/>
        <v>0.62352941176470589</v>
      </c>
      <c r="G11" s="16">
        <f t="shared" si="2"/>
        <v>0.58333333333333337</v>
      </c>
      <c r="H11" s="16">
        <f t="shared" si="2"/>
        <v>0.55952380952380953</v>
      </c>
      <c r="I11" s="16">
        <f t="shared" si="2"/>
        <v>0.51764705882352946</v>
      </c>
      <c r="J11" s="16">
        <f t="shared" si="2"/>
        <v>0.54651162790697672</v>
      </c>
      <c r="K11" s="16">
        <f t="shared" si="2"/>
        <v>0.41860465116279072</v>
      </c>
      <c r="L11" s="16">
        <f t="shared" si="2"/>
        <v>0.56470588235294117</v>
      </c>
      <c r="M11" s="16">
        <f t="shared" si="2"/>
        <v>0.45783132530120479</v>
      </c>
      <c r="N11" s="16">
        <f t="shared" si="2"/>
        <v>0.45121951219512196</v>
      </c>
      <c r="O11" s="16">
        <f t="shared" si="2"/>
        <v>0.41666666666666669</v>
      </c>
      <c r="P11" s="16">
        <f t="shared" si="2"/>
        <v>0.58823529411764708</v>
      </c>
      <c r="Q11" s="16">
        <f t="shared" si="2"/>
        <v>0.59523809523809523</v>
      </c>
      <c r="R11" s="16">
        <f t="shared" si="2"/>
        <v>0.49397590361445781</v>
      </c>
      <c r="S11" s="16">
        <f t="shared" si="2"/>
        <v>0.52380952380952384</v>
      </c>
      <c r="T11" s="16">
        <f t="shared" si="2"/>
        <v>0.4823529411764706</v>
      </c>
      <c r="U11" s="16">
        <f t="shared" si="2"/>
        <v>0.40229885057471265</v>
      </c>
      <c r="V11" s="16">
        <f t="shared" si="2"/>
        <v>0.33333333333333331</v>
      </c>
      <c r="W11" s="16">
        <f t="shared" si="2"/>
        <v>0.62352941176470589</v>
      </c>
      <c r="X11" s="16">
        <f t="shared" si="2"/>
        <v>0.45882352941176469</v>
      </c>
      <c r="Y11" s="16">
        <f t="shared" si="2"/>
        <v>0.47619047619047616</v>
      </c>
      <c r="Z11" s="16">
        <f t="shared" si="2"/>
        <v>0.48780487804878048</v>
      </c>
      <c r="AA11" s="16">
        <f t="shared" si="2"/>
        <v>0.48837209302325579</v>
      </c>
      <c r="AB11" s="16">
        <f t="shared" si="2"/>
        <v>0.5714285714285714</v>
      </c>
      <c r="AC11" s="16">
        <f t="shared" si="2"/>
        <v>0.55294117647058827</v>
      </c>
      <c r="AD11" s="16">
        <f t="shared" si="2"/>
        <v>0.44047619047619047</v>
      </c>
      <c r="AE11" s="16">
        <f t="shared" si="2"/>
        <v>0.54761904761904767</v>
      </c>
    </row>
    <row r="12" spans="1:31" ht="24" customHeight="1" x14ac:dyDescent="0.2">
      <c r="A12" s="11" t="s">
        <v>53</v>
      </c>
      <c r="B12" s="13" t="str">
        <f>ROUND(B8,0)&amp;"-"&amp;ROUND(B9,0)</f>
        <v>40-45</v>
      </c>
      <c r="C12" s="13" t="str">
        <f t="shared" ref="C12:AE12" si="3">ROUND(C8,0)&amp;"-"&amp;ROUND(C9,0)</f>
        <v>44-40</v>
      </c>
      <c r="D12" s="13" t="str">
        <f t="shared" si="3"/>
        <v>44-40</v>
      </c>
      <c r="E12" s="13" t="str">
        <f t="shared" si="3"/>
        <v>33-51</v>
      </c>
      <c r="F12" s="13" t="str">
        <f t="shared" si="3"/>
        <v>51-34</v>
      </c>
      <c r="G12" s="13" t="str">
        <f t="shared" si="3"/>
        <v>45-39</v>
      </c>
      <c r="H12" s="13" t="str">
        <f t="shared" si="3"/>
        <v>44-40</v>
      </c>
      <c r="I12" s="13" t="str">
        <f t="shared" si="3"/>
        <v>41-44</v>
      </c>
      <c r="J12" s="13" t="str">
        <f t="shared" si="3"/>
        <v>42-44</v>
      </c>
      <c r="K12" s="13" t="str">
        <f t="shared" si="3"/>
        <v>41-45</v>
      </c>
      <c r="L12" s="13" t="str">
        <f t="shared" si="3"/>
        <v>46-39</v>
      </c>
      <c r="M12" s="13" t="str">
        <f t="shared" si="3"/>
        <v>46-37</v>
      </c>
      <c r="N12" s="13" t="str">
        <f t="shared" si="3"/>
        <v>34-48</v>
      </c>
      <c r="O12" s="13" t="str">
        <f t="shared" si="3"/>
        <v>36-48</v>
      </c>
      <c r="P12" s="13" t="str">
        <f t="shared" si="3"/>
        <v>47-38</v>
      </c>
      <c r="Q12" s="13" t="str">
        <f t="shared" si="3"/>
        <v>47-37</v>
      </c>
      <c r="R12" s="13" t="str">
        <f t="shared" si="3"/>
        <v>36-47</v>
      </c>
      <c r="S12" s="13" t="str">
        <f t="shared" si="3"/>
        <v>45-39</v>
      </c>
      <c r="T12" s="13" t="str">
        <f t="shared" si="3"/>
        <v>45-40</v>
      </c>
      <c r="U12" s="13" t="str">
        <f t="shared" si="3"/>
        <v>38-49</v>
      </c>
      <c r="V12" s="13" t="str">
        <f t="shared" si="3"/>
        <v>27-57</v>
      </c>
      <c r="W12" s="13" t="str">
        <f t="shared" si="3"/>
        <v>43-43</v>
      </c>
      <c r="X12" s="13" t="str">
        <f t="shared" si="3"/>
        <v>43-42</v>
      </c>
      <c r="Y12" s="13" t="str">
        <f t="shared" si="3"/>
        <v>44-40</v>
      </c>
      <c r="Z12" s="13" t="str">
        <f t="shared" si="3"/>
        <v>43-39</v>
      </c>
      <c r="AA12" s="13" t="str">
        <f t="shared" si="3"/>
        <v>45-41</v>
      </c>
      <c r="AB12" s="13" t="str">
        <f t="shared" si="3"/>
        <v>46-38</v>
      </c>
      <c r="AC12" s="13" t="str">
        <f t="shared" si="3"/>
        <v>44-41</v>
      </c>
      <c r="AD12" s="13" t="str">
        <f t="shared" si="3"/>
        <v>46-38</v>
      </c>
      <c r="AE12" s="13" t="str">
        <f t="shared" si="3"/>
        <v>43-41</v>
      </c>
    </row>
    <row r="13" spans="1:31" ht="24" customHeight="1" x14ac:dyDescent="0.2">
      <c r="A13" s="11" t="s">
        <v>54</v>
      </c>
      <c r="B13" s="13">
        <f>B8/B5</f>
        <v>0.47499999999999998</v>
      </c>
      <c r="C13" s="13">
        <f t="shared" ref="C13:AE13" si="4">C8/C5</f>
        <v>0.52500000000000002</v>
      </c>
      <c r="D13" s="13">
        <f t="shared" si="4"/>
        <v>0.51899999999999991</v>
      </c>
      <c r="E13" s="13">
        <f t="shared" si="4"/>
        <v>0.38900000000000001</v>
      </c>
      <c r="F13" s="13">
        <f t="shared" si="4"/>
        <v>0.59899999999999998</v>
      </c>
      <c r="G13" s="13">
        <f t="shared" si="4"/>
        <v>0.53100000000000003</v>
      </c>
      <c r="H13" s="13">
        <f t="shared" si="4"/>
        <v>0.51899999999999991</v>
      </c>
      <c r="I13" s="13">
        <f t="shared" si="4"/>
        <v>0.48799999999999999</v>
      </c>
      <c r="J13" s="13">
        <f t="shared" si="4"/>
        <v>0.48800000000000004</v>
      </c>
      <c r="K13" s="13">
        <f t="shared" si="4"/>
        <v>0.47500000000000003</v>
      </c>
      <c r="L13" s="13">
        <f t="shared" si="4"/>
        <v>0.54300000000000004</v>
      </c>
      <c r="M13" s="13">
        <f t="shared" si="4"/>
        <v>0.54900000000000004</v>
      </c>
      <c r="N13" s="13">
        <f t="shared" si="4"/>
        <v>0.42</v>
      </c>
      <c r="O13" s="13">
        <f t="shared" si="4"/>
        <v>0.42599999999999999</v>
      </c>
      <c r="P13" s="13">
        <f t="shared" si="4"/>
        <v>0.54900000000000004</v>
      </c>
      <c r="Q13" s="13">
        <f t="shared" si="4"/>
        <v>0.55600000000000005</v>
      </c>
      <c r="R13" s="13">
        <f t="shared" si="4"/>
        <v>0.432</v>
      </c>
      <c r="S13" s="13">
        <f t="shared" si="4"/>
        <v>0.53100000000000003</v>
      </c>
      <c r="T13" s="13">
        <f t="shared" si="4"/>
        <v>0.52500000000000002</v>
      </c>
      <c r="U13" s="13">
        <f t="shared" si="4"/>
        <v>0.438</v>
      </c>
      <c r="V13" s="13">
        <f t="shared" si="4"/>
        <v>0.32700000000000001</v>
      </c>
      <c r="W13" s="13">
        <f t="shared" si="4"/>
        <v>0.5</v>
      </c>
      <c r="X13" s="13">
        <f t="shared" si="4"/>
        <v>0.50600000000000001</v>
      </c>
      <c r="Y13" s="13">
        <f t="shared" si="4"/>
        <v>0.52500000000000002</v>
      </c>
      <c r="Z13" s="13">
        <f t="shared" si="4"/>
        <v>0.52499999999999991</v>
      </c>
      <c r="AA13" s="13">
        <f t="shared" si="4"/>
        <v>0.51900000000000002</v>
      </c>
      <c r="AB13" s="13">
        <f t="shared" si="4"/>
        <v>0.54900000000000004</v>
      </c>
      <c r="AC13" s="13">
        <f t="shared" si="4"/>
        <v>0.51200000000000001</v>
      </c>
      <c r="AD13" s="13">
        <f t="shared" si="4"/>
        <v>0.54900000000000004</v>
      </c>
      <c r="AE13" s="13">
        <f t="shared" si="4"/>
        <v>0.50600000000000001</v>
      </c>
    </row>
    <row r="14" spans="1:31" ht="24" customHeight="1" x14ac:dyDescent="0.2">
      <c r="A14" s="11" t="s">
        <v>55</v>
      </c>
      <c r="B14" s="14" t="s">
        <v>29</v>
      </c>
      <c r="C14" s="14" t="s">
        <v>29</v>
      </c>
      <c r="D14" s="14" t="s">
        <v>29</v>
      </c>
      <c r="E14" s="14" t="s">
        <v>29</v>
      </c>
      <c r="F14" s="14" t="s">
        <v>30</v>
      </c>
      <c r="G14" s="14" t="s">
        <v>30</v>
      </c>
      <c r="H14" s="14" t="s">
        <v>30</v>
      </c>
      <c r="I14" s="14" t="s">
        <v>29</v>
      </c>
      <c r="J14" s="14" t="s">
        <v>30</v>
      </c>
      <c r="K14" s="14" t="s">
        <v>29</v>
      </c>
      <c r="L14" s="14" t="s">
        <v>30</v>
      </c>
      <c r="M14" s="14" t="s">
        <v>29</v>
      </c>
      <c r="N14" s="14" t="s">
        <v>29</v>
      </c>
      <c r="O14" s="14" t="s">
        <v>29</v>
      </c>
      <c r="P14" s="14" t="s">
        <v>30</v>
      </c>
      <c r="Q14" s="14" t="s">
        <v>30</v>
      </c>
      <c r="R14" s="14" t="s">
        <v>29</v>
      </c>
      <c r="S14" s="14" t="s">
        <v>30</v>
      </c>
      <c r="T14" s="14" t="s">
        <v>29</v>
      </c>
      <c r="U14" s="14" t="s">
        <v>29</v>
      </c>
      <c r="V14" s="14" t="s">
        <v>29</v>
      </c>
      <c r="W14" s="14" t="s">
        <v>30</v>
      </c>
      <c r="X14" s="14" t="s">
        <v>29</v>
      </c>
      <c r="Y14" s="14" t="s">
        <v>29</v>
      </c>
      <c r="Z14" s="14" t="s">
        <v>29</v>
      </c>
      <c r="AA14" s="14" t="s">
        <v>29</v>
      </c>
      <c r="AB14" s="14" t="s">
        <v>30</v>
      </c>
      <c r="AC14" s="14" t="s">
        <v>30</v>
      </c>
      <c r="AD14" s="14" t="s">
        <v>29</v>
      </c>
      <c r="AE14" s="14" t="s">
        <v>30</v>
      </c>
    </row>
    <row r="15" spans="1:31" ht="24" customHeight="1" x14ac:dyDescent="0.2">
      <c r="A15" s="11" t="s">
        <v>56</v>
      </c>
      <c r="B15" s="17">
        <v>0.16600000000000001</v>
      </c>
      <c r="C15" s="17">
        <v>0.52400000000000002</v>
      </c>
      <c r="D15" s="17">
        <v>0.51200000000000001</v>
      </c>
      <c r="E15" s="17">
        <v>5.0000000000000001E-3</v>
      </c>
      <c r="F15" s="17">
        <v>0.92700000000000005</v>
      </c>
      <c r="G15" s="17">
        <v>0.56399999999999995</v>
      </c>
      <c r="H15" s="17">
        <v>0.50900000000000001</v>
      </c>
      <c r="I15" s="17">
        <v>0.23599999999999999</v>
      </c>
      <c r="J15" s="17">
        <v>0.25700000000000001</v>
      </c>
      <c r="K15" s="17">
        <v>0.19900000000000001</v>
      </c>
      <c r="L15" s="17">
        <v>0.65400000000000003</v>
      </c>
      <c r="M15" s="17">
        <v>0.70299999999999996</v>
      </c>
      <c r="N15" s="17">
        <v>3.5000000000000003E-2</v>
      </c>
      <c r="O15" s="17">
        <v>3.5000000000000003E-2</v>
      </c>
      <c r="P15" s="17">
        <v>0.69099999999999995</v>
      </c>
      <c r="Q15" s="17">
        <v>0.71799999999999997</v>
      </c>
      <c r="R15" s="17">
        <v>2.8000000000000001E-2</v>
      </c>
      <c r="S15" s="17">
        <v>0.54200000000000004</v>
      </c>
      <c r="T15" s="17">
        <v>0.499</v>
      </c>
      <c r="U15" s="17">
        <v>5.6000000000000001E-2</v>
      </c>
      <c r="V15" s="17">
        <v>0</v>
      </c>
      <c r="W15" s="17">
        <v>0.30599999999999999</v>
      </c>
      <c r="X15" s="17">
        <v>0.36499999999999999</v>
      </c>
      <c r="Y15" s="17">
        <v>0.49099999999999999</v>
      </c>
      <c r="Z15" s="17">
        <v>0.51300000000000001</v>
      </c>
      <c r="AA15" s="17">
        <v>0.46200000000000002</v>
      </c>
      <c r="AB15" s="17">
        <v>0.65300000000000002</v>
      </c>
      <c r="AC15" s="17">
        <v>0.34100000000000003</v>
      </c>
      <c r="AD15" s="17">
        <v>0.68100000000000005</v>
      </c>
      <c r="AE15" s="17">
        <v>0.34399999999999997</v>
      </c>
    </row>
    <row r="16" spans="1:31" ht="24" customHeight="1" x14ac:dyDescent="0.2">
      <c r="A16" s="11" t="s">
        <v>57</v>
      </c>
      <c r="B16" s="18">
        <f>B6-B8</f>
        <v>4.625</v>
      </c>
      <c r="C16" s="18">
        <f t="shared" ref="C16:AE16" si="5">C6-C8</f>
        <v>-2.1000000000000014</v>
      </c>
      <c r="D16" s="18">
        <f t="shared" si="5"/>
        <v>1.4040000000000035</v>
      </c>
      <c r="E16" s="18">
        <f t="shared" si="5"/>
        <v>-13.676000000000002</v>
      </c>
      <c r="F16" s="18">
        <f t="shared" si="5"/>
        <v>2.0850000000000009</v>
      </c>
      <c r="G16" s="18">
        <f t="shared" si="5"/>
        <v>4.3960000000000008</v>
      </c>
      <c r="H16" s="18">
        <f t="shared" si="5"/>
        <v>3.4040000000000035</v>
      </c>
      <c r="I16" s="18">
        <f t="shared" si="5"/>
        <v>2.5200000000000031</v>
      </c>
      <c r="J16" s="18">
        <f t="shared" si="5"/>
        <v>5.0319999999999965</v>
      </c>
      <c r="K16" s="18">
        <f t="shared" si="5"/>
        <v>-4.8500000000000014</v>
      </c>
      <c r="L16" s="18">
        <f t="shared" si="5"/>
        <v>1.8449999999999989</v>
      </c>
      <c r="M16" s="18">
        <f t="shared" si="5"/>
        <v>-7.5670000000000002</v>
      </c>
      <c r="N16" s="18">
        <f t="shared" si="5"/>
        <v>2.5600000000000023</v>
      </c>
      <c r="O16" s="18">
        <f t="shared" si="5"/>
        <v>-0.78399999999999892</v>
      </c>
      <c r="P16" s="18">
        <f t="shared" si="5"/>
        <v>3.3350000000000009</v>
      </c>
      <c r="Q16" s="18">
        <f t="shared" si="5"/>
        <v>3.2959999999999994</v>
      </c>
      <c r="R16" s="18">
        <f t="shared" si="5"/>
        <v>5.1439999999999984</v>
      </c>
      <c r="S16" s="18">
        <f t="shared" si="5"/>
        <v>-0.6039999999999992</v>
      </c>
      <c r="T16" s="18">
        <f t="shared" si="5"/>
        <v>-3.625</v>
      </c>
      <c r="U16" s="18">
        <f t="shared" si="5"/>
        <v>-3.1060000000000016</v>
      </c>
      <c r="V16" s="18">
        <f t="shared" si="5"/>
        <v>0.53200000000000003</v>
      </c>
      <c r="W16" s="18">
        <f t="shared" si="5"/>
        <v>10.5</v>
      </c>
      <c r="X16" s="18">
        <f t="shared" si="5"/>
        <v>-4.009999999999998</v>
      </c>
      <c r="Y16" s="18">
        <f t="shared" si="5"/>
        <v>-4.1000000000000014</v>
      </c>
      <c r="Z16" s="18">
        <f t="shared" si="5"/>
        <v>-3.0499999999999972</v>
      </c>
      <c r="AA16" s="18">
        <f t="shared" si="5"/>
        <v>-2.6340000000000003</v>
      </c>
      <c r="AB16" s="18">
        <f t="shared" si="5"/>
        <v>1.8840000000000003</v>
      </c>
      <c r="AC16" s="18">
        <f t="shared" si="5"/>
        <v>3.4799999999999969</v>
      </c>
      <c r="AD16" s="18">
        <f t="shared" si="5"/>
        <v>-9.1159999999999997</v>
      </c>
      <c r="AE16" s="18">
        <f t="shared" si="5"/>
        <v>3.4960000000000022</v>
      </c>
    </row>
    <row r="17" spans="1:31" ht="24" customHeight="1" x14ac:dyDescent="0.2">
      <c r="A17" s="11" t="s">
        <v>58</v>
      </c>
      <c r="B17" s="16">
        <f>B11-B13</f>
        <v>5.4411764705882382E-2</v>
      </c>
      <c r="C17" s="16">
        <f t="shared" ref="C17:AE17" si="6">C11-C13</f>
        <v>-2.5000000000000022E-2</v>
      </c>
      <c r="D17" s="16">
        <f t="shared" si="6"/>
        <v>1.6714285714285793E-2</v>
      </c>
      <c r="E17" s="16">
        <f t="shared" si="6"/>
        <v>-0.16280952380952382</v>
      </c>
      <c r="F17" s="16">
        <f t="shared" si="6"/>
        <v>2.4529411764705911E-2</v>
      </c>
      <c r="G17" s="16">
        <f t="shared" si="6"/>
        <v>5.2333333333333343E-2</v>
      </c>
      <c r="H17" s="16">
        <f t="shared" si="6"/>
        <v>4.0523809523809629E-2</v>
      </c>
      <c r="I17" s="16">
        <f t="shared" si="6"/>
        <v>2.9647058823529471E-2</v>
      </c>
      <c r="J17" s="16">
        <f t="shared" si="6"/>
        <v>5.8511627906976671E-2</v>
      </c>
      <c r="K17" s="16">
        <f t="shared" si="6"/>
        <v>-5.6395348837209314E-2</v>
      </c>
      <c r="L17" s="16">
        <f t="shared" si="6"/>
        <v>2.170588235294113E-2</v>
      </c>
      <c r="M17" s="16">
        <f t="shared" si="6"/>
        <v>-9.1168674698795249E-2</v>
      </c>
      <c r="N17" s="16">
        <f t="shared" si="6"/>
        <v>3.1219512195121979E-2</v>
      </c>
      <c r="O17" s="16">
        <f t="shared" si="6"/>
        <v>-9.3333333333333046E-3</v>
      </c>
      <c r="P17" s="16">
        <f t="shared" si="6"/>
        <v>3.9235294117647035E-2</v>
      </c>
      <c r="Q17" s="16">
        <f t="shared" si="6"/>
        <v>3.9238095238095183E-2</v>
      </c>
      <c r="R17" s="16">
        <f t="shared" si="6"/>
        <v>6.1975903614457817E-2</v>
      </c>
      <c r="S17" s="16">
        <f t="shared" si="6"/>
        <v>-7.1904761904761916E-3</v>
      </c>
      <c r="T17" s="16">
        <f t="shared" si="6"/>
        <v>-4.2647058823529427E-2</v>
      </c>
      <c r="U17" s="16">
        <f t="shared" si="6"/>
        <v>-3.5701149425287348E-2</v>
      </c>
      <c r="V17" s="16">
        <f t="shared" si="6"/>
        <v>6.333333333333302E-3</v>
      </c>
      <c r="W17" s="16">
        <f t="shared" si="6"/>
        <v>0.12352941176470589</v>
      </c>
      <c r="X17" s="16">
        <f t="shared" si="6"/>
        <v>-4.717647058823532E-2</v>
      </c>
      <c r="Y17" s="16">
        <f t="shared" si="6"/>
        <v>-4.8809523809523858E-2</v>
      </c>
      <c r="Z17" s="16">
        <f t="shared" si="6"/>
        <v>-3.7195121951219434E-2</v>
      </c>
      <c r="AA17" s="16">
        <f t="shared" si="6"/>
        <v>-3.0627906976744224E-2</v>
      </c>
      <c r="AB17" s="16">
        <f t="shared" si="6"/>
        <v>2.2428571428571353E-2</v>
      </c>
      <c r="AC17" s="16">
        <f t="shared" si="6"/>
        <v>4.0941176470588259E-2</v>
      </c>
      <c r="AD17" s="16">
        <f t="shared" si="6"/>
        <v>-0.10852380952380958</v>
      </c>
      <c r="AE17" s="16">
        <f t="shared" si="6"/>
        <v>4.1619047619047667E-2</v>
      </c>
    </row>
    <row r="18" spans="1:31" ht="24" customHeight="1" x14ac:dyDescent="0.2">
      <c r="A18" s="11" t="s">
        <v>59</v>
      </c>
      <c r="B18" s="13">
        <v>37.4</v>
      </c>
      <c r="C18" s="13">
        <v>24</v>
      </c>
      <c r="D18" s="13">
        <v>41.4</v>
      </c>
      <c r="E18" s="13">
        <v>0</v>
      </c>
      <c r="F18" s="13">
        <v>99.8</v>
      </c>
      <c r="G18" s="13">
        <v>85</v>
      </c>
      <c r="H18" s="13">
        <v>59.4</v>
      </c>
      <c r="I18" s="13">
        <v>14</v>
      </c>
      <c r="J18" s="13">
        <v>45.5</v>
      </c>
      <c r="K18" s="13">
        <v>0.2</v>
      </c>
      <c r="L18" s="13">
        <v>78.7</v>
      </c>
      <c r="M18" s="13">
        <v>21.6</v>
      </c>
      <c r="N18" s="13">
        <v>0.2</v>
      </c>
      <c r="O18" s="13">
        <v>0.1</v>
      </c>
      <c r="P18" s="13">
        <v>92.8</v>
      </c>
      <c r="Q18" s="13">
        <v>95.9</v>
      </c>
      <c r="R18" s="13">
        <v>6.3</v>
      </c>
      <c r="S18" s="13">
        <v>65.099999999999994</v>
      </c>
      <c r="T18" s="13">
        <v>17</v>
      </c>
      <c r="U18" s="13">
        <v>0.3</v>
      </c>
      <c r="V18" s="13">
        <v>0</v>
      </c>
      <c r="W18" s="13">
        <v>99.2</v>
      </c>
      <c r="X18" s="13">
        <v>8.1999999999999993</v>
      </c>
      <c r="Y18" s="13">
        <v>24.8</v>
      </c>
      <c r="Z18" s="13">
        <v>21.2</v>
      </c>
      <c r="AA18" s="13">
        <v>17</v>
      </c>
      <c r="AB18" s="13">
        <v>93.9</v>
      </c>
      <c r="AC18" s="13">
        <v>74.599999999999994</v>
      </c>
      <c r="AD18" s="13">
        <v>4.4000000000000004</v>
      </c>
      <c r="AE18" s="13">
        <v>72.099999999999994</v>
      </c>
    </row>
    <row r="19" spans="1:31" ht="24" customHeight="1" x14ac:dyDescent="0.2">
      <c r="A19" s="11" t="s">
        <v>60</v>
      </c>
      <c r="B19" s="19">
        <f>B18/100</f>
        <v>0.374</v>
      </c>
      <c r="C19" s="19">
        <f t="shared" ref="C19:AE19" si="7">C18/100</f>
        <v>0.24</v>
      </c>
      <c r="D19" s="19">
        <f t="shared" si="7"/>
        <v>0.41399999999999998</v>
      </c>
      <c r="E19" s="19">
        <f t="shared" si="7"/>
        <v>0</v>
      </c>
      <c r="F19" s="19">
        <f t="shared" si="7"/>
        <v>0.998</v>
      </c>
      <c r="G19" s="19">
        <f t="shared" si="7"/>
        <v>0.85</v>
      </c>
      <c r="H19" s="19">
        <f t="shared" si="7"/>
        <v>0.59399999999999997</v>
      </c>
      <c r="I19" s="19">
        <f t="shared" si="7"/>
        <v>0.14000000000000001</v>
      </c>
      <c r="J19" s="19">
        <f t="shared" si="7"/>
        <v>0.45500000000000002</v>
      </c>
      <c r="K19" s="19">
        <f t="shared" si="7"/>
        <v>2E-3</v>
      </c>
      <c r="L19" s="19">
        <f t="shared" si="7"/>
        <v>0.78700000000000003</v>
      </c>
      <c r="M19" s="19">
        <f t="shared" si="7"/>
        <v>0.21600000000000003</v>
      </c>
      <c r="N19" s="19">
        <f t="shared" si="7"/>
        <v>2E-3</v>
      </c>
      <c r="O19" s="19">
        <f t="shared" si="7"/>
        <v>1E-3</v>
      </c>
      <c r="P19" s="19">
        <f t="shared" si="7"/>
        <v>0.92799999999999994</v>
      </c>
      <c r="Q19" s="19">
        <f t="shared" si="7"/>
        <v>0.95900000000000007</v>
      </c>
      <c r="R19" s="19">
        <f t="shared" si="7"/>
        <v>6.3E-2</v>
      </c>
      <c r="S19" s="19">
        <f t="shared" si="7"/>
        <v>0.65099999999999991</v>
      </c>
      <c r="T19" s="19">
        <f t="shared" si="7"/>
        <v>0.17</v>
      </c>
      <c r="U19" s="19">
        <f t="shared" si="7"/>
        <v>3.0000000000000001E-3</v>
      </c>
      <c r="V19" s="19">
        <f t="shared" si="7"/>
        <v>0</v>
      </c>
      <c r="W19" s="19">
        <f t="shared" si="7"/>
        <v>0.99199999999999999</v>
      </c>
      <c r="X19" s="19">
        <f t="shared" si="7"/>
        <v>8.199999999999999E-2</v>
      </c>
      <c r="Y19" s="19">
        <f t="shared" si="7"/>
        <v>0.248</v>
      </c>
      <c r="Z19" s="19">
        <f t="shared" si="7"/>
        <v>0.21199999999999999</v>
      </c>
      <c r="AA19" s="19">
        <f t="shared" si="7"/>
        <v>0.17</v>
      </c>
      <c r="AB19" s="19">
        <f t="shared" si="7"/>
        <v>0.93900000000000006</v>
      </c>
      <c r="AC19" s="19">
        <f t="shared" si="7"/>
        <v>0.746</v>
      </c>
      <c r="AD19" s="19">
        <f t="shared" si="7"/>
        <v>4.4000000000000004E-2</v>
      </c>
      <c r="AE19" s="19">
        <f t="shared" si="7"/>
        <v>0.72099999999999997</v>
      </c>
    </row>
    <row r="20" spans="1:31" ht="24" customHeight="1" x14ac:dyDescent="0.2">
      <c r="A20" s="11" t="s">
        <v>61</v>
      </c>
      <c r="B20" s="13" t="str">
        <f>IF((B19-B15)&gt;0, "↑" &amp; TEXT(B19-B15,"0.0%"), "↓" &amp; TEXT(ABS(B19-B15),"0.0%")) &amp; "  → " &amp; TEXT(B19,"0.0%")</f>
        <v>↑20.8%  → 37.4%</v>
      </c>
      <c r="C20" s="13" t="str">
        <f t="shared" ref="C20:AE20" si="8">IF((C19-C15)&gt;0, "↑" &amp; TEXT(C19-C15,"0.0%"), "↓" &amp; TEXT(ABS(C19-C15),"0.0%")) &amp; "  → " &amp; TEXT(C19,"0.0%")</f>
        <v>↓28.4%  → 24.0%</v>
      </c>
      <c r="D20" s="13" t="str">
        <f t="shared" si="8"/>
        <v>↓9.8%  → 41.4%</v>
      </c>
      <c r="E20" s="13" t="str">
        <f t="shared" si="8"/>
        <v>↓0.5%  → 0.0%</v>
      </c>
      <c r="F20" s="13" t="str">
        <f t="shared" si="8"/>
        <v>↑7.1%  → 99.8%</v>
      </c>
      <c r="G20" s="13" t="str">
        <f t="shared" si="8"/>
        <v>↑28.6%  → 85.0%</v>
      </c>
      <c r="H20" s="13" t="str">
        <f t="shared" si="8"/>
        <v>↑8.5%  → 59.4%</v>
      </c>
      <c r="I20" s="13" t="str">
        <f t="shared" si="8"/>
        <v>↓9.6%  → 14.0%</v>
      </c>
      <c r="J20" s="13" t="str">
        <f t="shared" si="8"/>
        <v>↑19.8%  → 45.5%</v>
      </c>
      <c r="K20" s="13" t="str">
        <f t="shared" si="8"/>
        <v>↓19.7%  → 0.2%</v>
      </c>
      <c r="L20" s="13" t="str">
        <f t="shared" si="8"/>
        <v>↑13.3%  → 78.7%</v>
      </c>
      <c r="M20" s="13" t="str">
        <f t="shared" si="8"/>
        <v>↓48.7%  → 21.6%</v>
      </c>
      <c r="N20" s="13" t="str">
        <f t="shared" si="8"/>
        <v>↓3.3%  → 0.2%</v>
      </c>
      <c r="O20" s="13" t="str">
        <f t="shared" si="8"/>
        <v>↓3.4%  → 0.1%</v>
      </c>
      <c r="P20" s="13" t="str">
        <f t="shared" si="8"/>
        <v>↑23.7%  → 92.8%</v>
      </c>
      <c r="Q20" s="13" t="str">
        <f t="shared" si="8"/>
        <v>↑24.1%  → 95.9%</v>
      </c>
      <c r="R20" s="13" t="str">
        <f t="shared" si="8"/>
        <v>↑3.5%  → 6.3%</v>
      </c>
      <c r="S20" s="13" t="str">
        <f t="shared" si="8"/>
        <v>↑10.9%  → 65.1%</v>
      </c>
      <c r="T20" s="13" t="str">
        <f t="shared" si="8"/>
        <v>↓32.9%  → 17.0%</v>
      </c>
      <c r="U20" s="13" t="str">
        <f t="shared" si="8"/>
        <v>↓5.3%  → 0.3%</v>
      </c>
      <c r="V20" s="13" t="str">
        <f t="shared" si="8"/>
        <v>↓0.0%  → 0.0%</v>
      </c>
      <c r="W20" s="13" t="str">
        <f t="shared" si="8"/>
        <v>↑68.6%  → 99.2%</v>
      </c>
      <c r="X20" s="13" t="str">
        <f t="shared" si="8"/>
        <v>↓28.3%  → 8.2%</v>
      </c>
      <c r="Y20" s="13" t="str">
        <f t="shared" si="8"/>
        <v>↓24.3%  → 24.8%</v>
      </c>
      <c r="Z20" s="13" t="str">
        <f t="shared" si="8"/>
        <v>↓30.1%  → 21.2%</v>
      </c>
      <c r="AA20" s="13" t="str">
        <f t="shared" si="8"/>
        <v>↓29.2%  → 17.0%</v>
      </c>
      <c r="AB20" s="13" t="str">
        <f t="shared" si="8"/>
        <v>↑28.6%  → 93.9%</v>
      </c>
      <c r="AC20" s="13" t="str">
        <f t="shared" si="8"/>
        <v>↑40.5%  → 74.6%</v>
      </c>
      <c r="AD20" s="13" t="str">
        <f t="shared" si="8"/>
        <v>↓63.7%  → 4.4%</v>
      </c>
      <c r="AE20" s="13" t="str">
        <f t="shared" si="8"/>
        <v>↑37.7%  → 72.1%</v>
      </c>
    </row>
    <row r="21" spans="1:31" x14ac:dyDescent="0.2">
      <c r="A21" s="11"/>
    </row>
    <row r="22" spans="1:31" x14ac:dyDescent="0.2">
      <c r="A22" s="11"/>
    </row>
    <row r="23" spans="1:31" x14ac:dyDescent="0.2">
      <c r="A23" s="11"/>
    </row>
    <row r="24" spans="1:31" x14ac:dyDescent="0.2">
      <c r="A24" s="11"/>
    </row>
    <row r="25" spans="1:31" x14ac:dyDescent="0.2">
      <c r="A25" s="11"/>
    </row>
    <row r="26" spans="1:31" x14ac:dyDescent="0.2">
      <c r="A26" s="11"/>
    </row>
    <row r="27" spans="1:31" x14ac:dyDescent="0.2">
      <c r="A27" s="11"/>
    </row>
    <row r="28" spans="1:31" x14ac:dyDescent="0.2">
      <c r="A28" s="11"/>
    </row>
    <row r="29" spans="1:31" x14ac:dyDescent="0.2">
      <c r="A29" s="11"/>
    </row>
    <row r="30" spans="1:31" x14ac:dyDescent="0.2">
      <c r="A30" s="11"/>
    </row>
    <row r="31" spans="1:31" x14ac:dyDescent="0.2">
      <c r="A31" s="11"/>
    </row>
    <row r="32" spans="1:31" x14ac:dyDescent="0.2">
      <c r="A32" s="11"/>
    </row>
    <row r="33" spans="1:1" x14ac:dyDescent="0.2">
      <c r="A33" s="11"/>
    </row>
    <row r="34" spans="1:1" x14ac:dyDescent="0.2">
      <c r="A34" s="11"/>
    </row>
    <row r="35" spans="1:1" x14ac:dyDescent="0.2">
      <c r="A35" s="11"/>
    </row>
    <row r="36" spans="1:1" x14ac:dyDescent="0.2">
      <c r="A3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of Season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Matthew Hester</cp:lastModifiedBy>
  <dcterms:created xsi:type="dcterms:W3CDTF">2025-11-04T21:36:58Z</dcterms:created>
  <dcterms:modified xsi:type="dcterms:W3CDTF">2025-11-25T21:09:21Z</dcterms:modified>
</cp:coreProperties>
</file>